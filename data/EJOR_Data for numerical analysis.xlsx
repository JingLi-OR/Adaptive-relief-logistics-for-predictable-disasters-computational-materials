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工作论文\3. 众包物流\投稿\EJOR\EJOR审稿意见及其回复\修改稿\R2数据整理\EJOR_R2\"/>
    </mc:Choice>
  </mc:AlternateContent>
  <xr:revisionPtr revIDLastSave="0" documentId="13_ncr:1_{E26CAA38-7234-448A-B700-C2870128DFE2}" xr6:coauthVersionLast="47" xr6:coauthVersionMax="47" xr10:uidLastSave="{00000000-0000-0000-0000-000000000000}"/>
  <bookViews>
    <workbookView xWindow="-110" yWindow="-110" windowWidth="25820" windowHeight="15500" firstSheet="1" activeTab="6" xr2:uid="{00000000-000D-0000-FFFF-FFFF00000000}"/>
  </bookViews>
  <sheets>
    <sheet name="Section 6.1.1-1" sheetId="1" r:id="rId1"/>
    <sheet name="Section 6.1.1-2" sheetId="2" r:id="rId2"/>
    <sheet name="Section 6.1.2-1" sheetId="3" r:id="rId3"/>
    <sheet name="Section 6.1.2-2" sheetId="4" r:id="rId4"/>
    <sheet name="Section 6.1.3" sheetId="10" r:id="rId5"/>
    <sheet name="Section 6.1.4" sheetId="5" r:id="rId6"/>
    <sheet name="Section 6.2" sheetId="8" r:id="rId7"/>
    <sheet name="Appendix D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9" i="8" l="1"/>
  <c r="J164" i="8"/>
  <c r="I158" i="8"/>
  <c r="K36" i="10"/>
  <c r="K35" i="10"/>
  <c r="K34" i="10"/>
  <c r="K33" i="10"/>
  <c r="K32" i="10"/>
  <c r="I36" i="10"/>
  <c r="I35" i="10"/>
  <c r="I34" i="10"/>
  <c r="I33" i="10"/>
  <c r="I32" i="10"/>
  <c r="G36" i="10"/>
  <c r="G35" i="10"/>
  <c r="G34" i="10"/>
  <c r="G33" i="10"/>
  <c r="G32" i="10"/>
  <c r="G27" i="10"/>
  <c r="K31" i="10"/>
  <c r="K30" i="10"/>
  <c r="K29" i="10"/>
  <c r="K28" i="10"/>
  <c r="K27" i="10"/>
  <c r="I31" i="10"/>
  <c r="I30" i="10"/>
  <c r="I29" i="10"/>
  <c r="I28" i="10"/>
  <c r="I27" i="10"/>
  <c r="G31" i="10"/>
  <c r="G30" i="10"/>
  <c r="G29" i="10"/>
  <c r="G28" i="10"/>
  <c r="K26" i="10"/>
  <c r="K25" i="10"/>
  <c r="K24" i="10"/>
  <c r="K23" i="10"/>
  <c r="K22" i="10"/>
  <c r="I26" i="10"/>
  <c r="I25" i="10"/>
  <c r="I24" i="10"/>
  <c r="I23" i="10"/>
  <c r="I22" i="10"/>
  <c r="G26" i="10"/>
  <c r="G25" i="10"/>
  <c r="G24" i="10"/>
  <c r="G23" i="10"/>
  <c r="G22" i="10"/>
  <c r="K21" i="10"/>
  <c r="K20" i="10"/>
  <c r="K19" i="10"/>
  <c r="K18" i="10"/>
  <c r="K17" i="10"/>
  <c r="I21" i="10"/>
  <c r="I20" i="10"/>
  <c r="I19" i="10"/>
  <c r="I18" i="10"/>
  <c r="I17" i="10"/>
  <c r="G21" i="10"/>
  <c r="G20" i="10"/>
  <c r="G19" i="10"/>
  <c r="G18" i="10"/>
  <c r="G17" i="10"/>
  <c r="K11" i="10"/>
  <c r="K10" i="10"/>
  <c r="K9" i="10"/>
  <c r="K8" i="10"/>
  <c r="K7" i="10"/>
  <c r="I11" i="10"/>
  <c r="I10" i="10"/>
  <c r="I9" i="10"/>
  <c r="I8" i="10"/>
  <c r="I7" i="10"/>
  <c r="G11" i="10"/>
  <c r="G10" i="10"/>
  <c r="G9" i="10"/>
  <c r="G8" i="10"/>
  <c r="G7" i="10"/>
  <c r="K16" i="10"/>
  <c r="K15" i="10"/>
  <c r="K14" i="10"/>
  <c r="K13" i="10"/>
  <c r="K12" i="10"/>
  <c r="I16" i="10"/>
  <c r="I15" i="10"/>
  <c r="I14" i="10"/>
  <c r="I13" i="10"/>
  <c r="I12" i="10"/>
  <c r="G16" i="10"/>
  <c r="G15" i="10"/>
  <c r="G14" i="10"/>
  <c r="G13" i="10"/>
  <c r="G12" i="10"/>
  <c r="K3" i="10"/>
  <c r="K4" i="10"/>
  <c r="K5" i="10"/>
  <c r="K6" i="10"/>
  <c r="K2" i="10"/>
  <c r="I4" i="10"/>
  <c r="I5" i="10"/>
  <c r="I6" i="10"/>
  <c r="I3" i="10"/>
  <c r="I2" i="10"/>
  <c r="G3" i="10"/>
  <c r="G4" i="10"/>
  <c r="G5" i="10"/>
  <c r="G6" i="10"/>
  <c r="G2" i="10"/>
  <c r="E3" i="10" l="1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2" i="10"/>
  <c r="L154" i="8"/>
  <c r="L155" i="8"/>
  <c r="L156" i="8"/>
  <c r="L157" i="8"/>
  <c r="L158" i="8"/>
  <c r="L171" i="8" s="1"/>
  <c r="L159" i="8"/>
  <c r="L160" i="8"/>
  <c r="L161" i="8"/>
  <c r="L162" i="8"/>
  <c r="L163" i="8"/>
  <c r="L164" i="8"/>
  <c r="L165" i="8"/>
  <c r="L166" i="8"/>
  <c r="L167" i="8"/>
  <c r="L168" i="8"/>
  <c r="L169" i="8"/>
  <c r="L17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71" i="8" s="1"/>
  <c r="M166" i="8"/>
  <c r="M167" i="8"/>
  <c r="M168" i="8"/>
  <c r="M169" i="8"/>
  <c r="M170" i="8"/>
  <c r="M150" i="8"/>
  <c r="I151" i="8"/>
  <c r="I152" i="8"/>
  <c r="I153" i="8"/>
  <c r="I154" i="8"/>
  <c r="I155" i="8"/>
  <c r="I156" i="8"/>
  <c r="I157" i="8"/>
  <c r="I159" i="8"/>
  <c r="I171" i="8" s="1"/>
  <c r="I160" i="8"/>
  <c r="I161" i="8"/>
  <c r="I162" i="8"/>
  <c r="I163" i="8"/>
  <c r="I164" i="8"/>
  <c r="I165" i="8"/>
  <c r="I166" i="8"/>
  <c r="I167" i="8"/>
  <c r="I168" i="8"/>
  <c r="I169" i="8"/>
  <c r="I170" i="8"/>
  <c r="I150" i="8"/>
  <c r="K151" i="8"/>
  <c r="K171" i="8" s="1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70" i="8"/>
  <c r="K150" i="8"/>
  <c r="L151" i="8"/>
  <c r="L152" i="8"/>
  <c r="L153" i="8"/>
  <c r="L150" i="8"/>
  <c r="J151" i="8"/>
  <c r="J152" i="8"/>
  <c r="J153" i="8"/>
  <c r="J154" i="8"/>
  <c r="J155" i="8"/>
  <c r="J156" i="8"/>
  <c r="J157" i="8"/>
  <c r="J171" i="8" s="1"/>
  <c r="J158" i="8"/>
  <c r="J159" i="8"/>
  <c r="J160" i="8"/>
  <c r="J161" i="8"/>
  <c r="J162" i="8"/>
  <c r="J163" i="8"/>
  <c r="J165" i="8"/>
  <c r="J166" i="8"/>
  <c r="J167" i="8"/>
  <c r="J168" i="8"/>
  <c r="J169" i="8"/>
  <c r="J170" i="8"/>
  <c r="J150" i="8"/>
  <c r="N171" i="8"/>
  <c r="O171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50" i="8"/>
  <c r="O150" i="8"/>
  <c r="P150" i="8"/>
  <c r="P171" i="8" s="1"/>
  <c r="Q171" i="8"/>
  <c r="O151" i="8"/>
  <c r="P151" i="8"/>
  <c r="Q151" i="8"/>
  <c r="O152" i="8"/>
  <c r="P152" i="8"/>
  <c r="Q152" i="8"/>
  <c r="O153" i="8"/>
  <c r="P153" i="8"/>
  <c r="Q153" i="8"/>
  <c r="O154" i="8"/>
  <c r="P154" i="8"/>
  <c r="Q154" i="8"/>
  <c r="O155" i="8"/>
  <c r="P155" i="8"/>
  <c r="Q155" i="8"/>
  <c r="O156" i="8"/>
  <c r="P156" i="8"/>
  <c r="Q156" i="8"/>
  <c r="O157" i="8"/>
  <c r="P157" i="8"/>
  <c r="Q157" i="8"/>
  <c r="O158" i="8"/>
  <c r="P158" i="8"/>
  <c r="Q158" i="8"/>
  <c r="O159" i="8"/>
  <c r="P159" i="8"/>
  <c r="Q159" i="8"/>
  <c r="O160" i="8"/>
  <c r="P160" i="8"/>
  <c r="Q160" i="8"/>
  <c r="O161" i="8"/>
  <c r="P161" i="8"/>
  <c r="Q161" i="8"/>
  <c r="O162" i="8"/>
  <c r="P162" i="8"/>
  <c r="Q162" i="8"/>
  <c r="O163" i="8"/>
  <c r="P163" i="8"/>
  <c r="Q163" i="8"/>
  <c r="O164" i="8"/>
  <c r="P164" i="8"/>
  <c r="Q164" i="8"/>
  <c r="O165" i="8"/>
  <c r="P165" i="8"/>
  <c r="Q165" i="8"/>
  <c r="O166" i="8"/>
  <c r="P166" i="8"/>
  <c r="Q166" i="8"/>
  <c r="O167" i="8"/>
  <c r="P167" i="8"/>
  <c r="Q167" i="8"/>
  <c r="O168" i="8"/>
  <c r="P168" i="8"/>
  <c r="Q168" i="8"/>
  <c r="O169" i="8"/>
  <c r="P169" i="8"/>
  <c r="Q169" i="8"/>
  <c r="O170" i="8"/>
  <c r="P170" i="8"/>
  <c r="Q170" i="8"/>
  <c r="Q150" i="8"/>
</calcChain>
</file>

<file path=xl/sharedStrings.xml><?xml version="1.0" encoding="utf-8"?>
<sst xmlns="http://schemas.openxmlformats.org/spreadsheetml/2006/main" count="392" uniqueCount="71">
  <si>
    <t>rho</t>
  </si>
  <si>
    <t>total_cost</t>
  </si>
  <si>
    <t>TRC_1e8_CNY</t>
  </si>
  <si>
    <t>is_lowest_TRC</t>
  </si>
  <si>
    <t>|T|</t>
  </si>
  <si>
    <t>|T|</t>
    <phoneticPr fontId="2" type="noConversion"/>
  </si>
  <si>
    <t>Facility and contract costs</t>
  </si>
  <si>
    <t>Procurement costs</t>
  </si>
  <si>
    <t>Transportation costs</t>
  </si>
  <si>
    <t>OMEGA</t>
  </si>
  <si>
    <t>PSI</t>
  </si>
  <si>
    <t>total_cost_obj</t>
  </si>
  <si>
    <t>best_cost</t>
  </si>
  <si>
    <t>Relative cost increase</t>
  </si>
  <si>
    <t>Omega</t>
  </si>
  <si>
    <t>Psi</t>
  </si>
  <si>
    <t>Optimal total relief cost (×10^8 CNY)</t>
  </si>
  <si>
    <t>Panel</t>
  </si>
  <si>
    <t>Parameter</t>
  </si>
  <si>
    <t>Phi</t>
  </si>
  <si>
    <t>x_value</t>
  </si>
  <si>
    <t>Optimal number of periods |T|*</t>
  </si>
  <si>
    <t>min_total_cost_obj</t>
  </si>
  <si>
    <t>min_total_cost_1e8_CNY</t>
  </si>
  <si>
    <t>(a)</t>
  </si>
  <si>
    <t>road capacity consumption multiplier</t>
  </si>
  <si>
    <t>(b)</t>
  </si>
  <si>
    <t>participation ratio multiplier</t>
  </si>
  <si>
    <t>(c)</t>
  </si>
  <si>
    <t>lead time</t>
  </si>
  <si>
    <t>CCG</t>
    <phoneticPr fontId="7" type="noConversion"/>
  </si>
  <si>
    <t>Instance-1</t>
  </si>
  <si>
    <t>Instance-2</t>
  </si>
  <si>
    <t>Instance-3</t>
  </si>
  <si>
    <t>Instance-4</t>
  </si>
  <si>
    <t>Instance-5</t>
  </si>
  <si>
    <t>Group</t>
  </si>
  <si>
    <t>gap</t>
  </si>
  <si>
    <t>|N^O|</t>
  </si>
  <si>
    <t>|N^I|</t>
  </si>
  <si>
    <t>|N^C|</t>
  </si>
  <si>
    <t>|N^V|</t>
  </si>
  <si>
    <t>|N^D|</t>
  </si>
  <si>
    <t>|S|</t>
  </si>
  <si>
    <t>Computational times (sec.)</t>
  </si>
  <si>
    <t>Direct TLP</t>
  </si>
  <si>
    <t>Direct TLP</t>
    <phoneticPr fontId="7" type="noConversion"/>
  </si>
  <si>
    <t>I-CCG</t>
  </si>
  <si>
    <t>CCG</t>
  </si>
  <si>
    <t>UB</t>
  </si>
  <si>
    <t>average</t>
  </si>
  <si>
    <t xml:space="preserve">I-CCG </t>
    <phoneticPr fontId="7" type="noConversion"/>
  </si>
  <si>
    <t>Cost item</t>
  </si>
  <si>
    <t>Theta</t>
  </si>
  <si>
    <t>Opened_SA_capacity</t>
  </si>
  <si>
    <t>Contracted_supply_capacity</t>
  </si>
  <si>
    <t>Contracted_fleet_size</t>
  </si>
  <si>
    <t>SA opening</t>
  </si>
  <si>
    <t>Professional vehicle rental</t>
  </si>
  <si>
    <t>Long-haul transportation</t>
  </si>
  <si>
    <t>Crowdshipping recruitment</t>
  </si>
  <si>
    <t>Commodity supplier contracting</t>
  </si>
  <si>
    <t>Carrier supplier contracting</t>
  </si>
  <si>
    <t>Inventory holding</t>
  </si>
  <si>
    <t>|T|*</t>
  </si>
  <si>
    <t>TRC_change (%)</t>
    <phoneticPr fontId="7" type="noConversion"/>
  </si>
  <si>
    <t>Opened_SA_capacity_change (%)</t>
    <phoneticPr fontId="7" type="noConversion"/>
  </si>
  <si>
    <t>Contracted_supply_capacity_change (%)</t>
    <phoneticPr fontId="7" type="noConversion"/>
  </si>
  <si>
    <t>Contracted_fleet_size_change (%)</t>
    <phoneticPr fontId="7" type="noConversion"/>
  </si>
  <si>
    <t>Total emergency procurement costs</t>
    <phoneticPr fontId="2" type="noConversion"/>
  </si>
  <si>
    <t>Average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</si>
</sst>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0000000000000"/>
    <numFmt numFmtId="178" formatCode="0.00000000000000000_ "/>
    <numFmt numFmtId="179" formatCode="0.00_ "/>
    <numFmt numFmtId="181" formatCode="0.0%"/>
  </numFmts>
  <fonts count="10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>
      <alignment vertical="center"/>
    </xf>
  </cellStyleXfs>
  <cellXfs count="29">
    <xf numFmtId="0" fontId="0" fillId="0" borderId="0" xfId="0">
      <alignment vertical="center"/>
    </xf>
    <xf numFmtId="0" fontId="3" fillId="0" borderId="0" xfId="0" applyFont="1" applyAlignment="1"/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177" fontId="3" fillId="0" borderId="0" xfId="0" applyNumberFormat="1" applyFont="1" applyAlignment="1"/>
    <xf numFmtId="0" fontId="6" fillId="0" borderId="0" xfId="0" applyFont="1" applyAlignment="1"/>
    <xf numFmtId="178" fontId="6" fillId="0" borderId="0" xfId="0" applyNumberFormat="1" applyFont="1" applyAlignment="1"/>
    <xf numFmtId="179" fontId="6" fillId="0" borderId="0" xfId="0" applyNumberFormat="1" applyFont="1" applyAlignment="1"/>
    <xf numFmtId="0" fontId="0" fillId="0" borderId="0" xfId="0" applyAlignment="1"/>
    <xf numFmtId="0" fontId="0" fillId="2" borderId="0" xfId="0" applyFill="1" applyAlignment="1"/>
    <xf numFmtId="11" fontId="0" fillId="0" borderId="0" xfId="0" applyNumberFormat="1">
      <alignment vertical="center"/>
    </xf>
    <xf numFmtId="181" fontId="1" fillId="0" borderId="0" xfId="1" applyNumberFormat="1">
      <alignment vertical="center"/>
    </xf>
    <xf numFmtId="176" fontId="0" fillId="0" borderId="0" xfId="0" applyNumberFormat="1">
      <alignment vertical="center"/>
    </xf>
    <xf numFmtId="11" fontId="1" fillId="0" borderId="0" xfId="1" applyNumberFormat="1">
      <alignment vertical="center"/>
    </xf>
    <xf numFmtId="10" fontId="1" fillId="0" borderId="0" xfId="1" applyNumberFormat="1">
      <alignment vertical="center"/>
    </xf>
    <xf numFmtId="0" fontId="9" fillId="0" borderId="0" xfId="0" applyFont="1">
      <alignment vertical="center"/>
    </xf>
    <xf numFmtId="0" fontId="9" fillId="2" borderId="0" xfId="0" applyFont="1" applyFill="1">
      <alignment vertical="center"/>
    </xf>
    <xf numFmtId="0" fontId="3" fillId="2" borderId="0" xfId="0" applyFont="1" applyFill="1" applyAlignment="1"/>
    <xf numFmtId="0" fontId="0" fillId="2" borderId="0" xfId="0" applyFill="1">
      <alignment vertical="center"/>
    </xf>
    <xf numFmtId="181" fontId="1" fillId="2" borderId="0" xfId="1" applyNumberFormat="1" applyFill="1">
      <alignment vertical="center"/>
    </xf>
    <xf numFmtId="181" fontId="8" fillId="0" borderId="0" xfId="1" applyNumberFormat="1" applyFont="1">
      <alignment vertical="center"/>
    </xf>
    <xf numFmtId="181" fontId="8" fillId="2" borderId="0" xfId="1" applyNumberFormat="1" applyFont="1" applyFill="1">
      <alignment vertical="center"/>
    </xf>
    <xf numFmtId="1" fontId="0" fillId="2" borderId="0" xfId="0" applyNumberFormat="1" applyFill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>
      <alignment vertical="center"/>
    </xf>
    <xf numFmtId="0" fontId="0" fillId="0" borderId="0" xfId="0" applyFill="1">
      <alignment vertical="center"/>
    </xf>
    <xf numFmtId="11" fontId="0" fillId="0" borderId="0" xfId="0" applyNumberFormat="1" applyFill="1">
      <alignment vertical="center"/>
    </xf>
    <xf numFmtId="181" fontId="1" fillId="0" borderId="0" xfId="1" applyNumberFormat="1" applyFill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workbookViewId="0">
      <selection activeCell="H24" sqref="H24"/>
    </sheetView>
  </sheetViews>
  <sheetFormatPr defaultColWidth="9" defaultRowHeight="14" x14ac:dyDescent="0.25"/>
  <cols>
    <col min="3" max="3" width="31" customWidth="1"/>
    <col min="4" max="4" width="30.90625" customWidth="1"/>
  </cols>
  <sheetData>
    <row r="1" spans="1:5" x14ac:dyDescent="0.25">
      <c r="A1" s="2" t="s">
        <v>0</v>
      </c>
      <c r="B1" s="3" t="s">
        <v>5</v>
      </c>
      <c r="C1" s="2" t="s">
        <v>2</v>
      </c>
      <c r="D1" s="2" t="s">
        <v>3</v>
      </c>
      <c r="E1" s="1"/>
    </row>
    <row r="2" spans="1:5" x14ac:dyDescent="0.25">
      <c r="A2" s="1">
        <v>6</v>
      </c>
      <c r="B2" s="1">
        <v>1</v>
      </c>
      <c r="C2" s="4">
        <v>2.6201816305018202</v>
      </c>
      <c r="D2" s="1" t="b">
        <v>0</v>
      </c>
      <c r="E2" s="1"/>
    </row>
    <row r="3" spans="1:5" x14ac:dyDescent="0.25">
      <c r="A3" s="1">
        <v>6</v>
      </c>
      <c r="B3" s="1">
        <v>2</v>
      </c>
      <c r="C3" s="4">
        <v>2.2190055191269602</v>
      </c>
      <c r="D3" s="1" t="b">
        <v>0</v>
      </c>
      <c r="E3" s="1"/>
    </row>
    <row r="4" spans="1:5" x14ac:dyDescent="0.25">
      <c r="A4" s="1">
        <v>6</v>
      </c>
      <c r="B4" s="1">
        <v>3</v>
      </c>
      <c r="C4" s="4">
        <v>1.7720231869952601</v>
      </c>
      <c r="D4" s="1" t="b">
        <v>0</v>
      </c>
      <c r="E4" s="1"/>
    </row>
    <row r="5" spans="1:5" x14ac:dyDescent="0.25">
      <c r="A5" s="1">
        <v>6</v>
      </c>
      <c r="B5" s="1">
        <v>4</v>
      </c>
      <c r="C5" s="4">
        <v>1.3518141996287201</v>
      </c>
      <c r="D5" s="1" t="b">
        <v>0</v>
      </c>
      <c r="E5" s="1"/>
    </row>
    <row r="6" spans="1:5" x14ac:dyDescent="0.25">
      <c r="A6" s="1">
        <v>6</v>
      </c>
      <c r="B6" s="1">
        <v>5</v>
      </c>
      <c r="C6" s="4">
        <v>1.12395602740389</v>
      </c>
      <c r="D6" s="1" t="b">
        <v>0</v>
      </c>
      <c r="E6" s="1"/>
    </row>
    <row r="7" spans="1:5" x14ac:dyDescent="0.25">
      <c r="A7" s="1">
        <v>6</v>
      </c>
      <c r="B7" s="1">
        <v>6</v>
      </c>
      <c r="C7" s="4">
        <v>1.0435839980982999</v>
      </c>
      <c r="D7" s="1" t="b">
        <v>1</v>
      </c>
      <c r="E7" s="1"/>
    </row>
    <row r="8" spans="1:5" x14ac:dyDescent="0.25">
      <c r="A8" s="1">
        <v>6</v>
      </c>
      <c r="B8" s="1">
        <v>7</v>
      </c>
      <c r="C8" s="4">
        <v>1.0596719521389499</v>
      </c>
      <c r="D8" s="1" t="b">
        <v>0</v>
      </c>
      <c r="E8" s="1"/>
    </row>
    <row r="9" spans="1:5" x14ac:dyDescent="0.25">
      <c r="A9" s="1">
        <v>6</v>
      </c>
      <c r="B9" s="1">
        <v>8</v>
      </c>
      <c r="C9" s="4">
        <v>1.0824680410596701</v>
      </c>
      <c r="D9" s="1" t="b">
        <v>0</v>
      </c>
      <c r="E9" s="1"/>
    </row>
    <row r="10" spans="1:5" x14ac:dyDescent="0.25">
      <c r="A10" s="1">
        <v>6</v>
      </c>
      <c r="B10" s="1">
        <v>9</v>
      </c>
      <c r="C10" s="4">
        <v>1.1053837582620401</v>
      </c>
      <c r="D10" s="1" t="b">
        <v>0</v>
      </c>
      <c r="E10" s="1"/>
    </row>
    <row r="11" spans="1:5" x14ac:dyDescent="0.25">
      <c r="A11" s="1">
        <v>6</v>
      </c>
      <c r="B11" s="1">
        <v>10</v>
      </c>
      <c r="C11" s="4">
        <v>1.13307858006312</v>
      </c>
      <c r="D11" s="1" t="b">
        <v>0</v>
      </c>
      <c r="E11" s="1"/>
    </row>
    <row r="12" spans="1:5" x14ac:dyDescent="0.25">
      <c r="A12" s="1">
        <v>8</v>
      </c>
      <c r="B12" s="1">
        <v>1</v>
      </c>
      <c r="C12" s="4">
        <v>2.6852636742861802</v>
      </c>
      <c r="D12" s="1" t="b">
        <v>0</v>
      </c>
      <c r="E12" s="1"/>
    </row>
    <row r="13" spans="1:5" x14ac:dyDescent="0.25">
      <c r="A13" s="1">
        <v>8</v>
      </c>
      <c r="B13" s="1">
        <v>2</v>
      </c>
      <c r="C13" s="4">
        <v>1.7315431366009599</v>
      </c>
      <c r="D13" s="1" t="b">
        <v>0</v>
      </c>
      <c r="E13" s="1"/>
    </row>
    <row r="14" spans="1:5" x14ac:dyDescent="0.25">
      <c r="A14" s="1">
        <v>8</v>
      </c>
      <c r="B14" s="1">
        <v>3</v>
      </c>
      <c r="C14" s="4">
        <v>1.2930464043971399</v>
      </c>
      <c r="D14" s="1" t="b">
        <v>0</v>
      </c>
      <c r="E14" s="1"/>
    </row>
    <row r="15" spans="1:5" x14ac:dyDescent="0.25">
      <c r="A15" s="1">
        <v>8</v>
      </c>
      <c r="B15" s="1">
        <v>4</v>
      </c>
      <c r="C15" s="4">
        <v>1.06665761643042</v>
      </c>
      <c r="D15" s="1" t="b">
        <v>0</v>
      </c>
      <c r="E15" s="1"/>
    </row>
    <row r="16" spans="1:5" x14ac:dyDescent="0.25">
      <c r="A16" s="1">
        <v>8</v>
      </c>
      <c r="B16" s="1">
        <v>5</v>
      </c>
      <c r="C16" s="4">
        <v>1.1040969481868701</v>
      </c>
      <c r="D16" s="1" t="b">
        <v>0</v>
      </c>
      <c r="E16" s="1"/>
    </row>
    <row r="17" spans="1:5" x14ac:dyDescent="0.25">
      <c r="A17" s="1">
        <v>8</v>
      </c>
      <c r="B17" s="1">
        <v>6</v>
      </c>
      <c r="C17" s="4">
        <v>1.1303998480325601</v>
      </c>
      <c r="D17" s="1" t="b">
        <v>0</v>
      </c>
      <c r="E17" s="1"/>
    </row>
    <row r="18" spans="1:5" x14ac:dyDescent="0.25">
      <c r="A18" s="1">
        <v>8</v>
      </c>
      <c r="B18" s="1">
        <v>7</v>
      </c>
      <c r="C18" s="4">
        <v>1.16679312065991</v>
      </c>
      <c r="D18" s="1" t="b">
        <v>0</v>
      </c>
      <c r="E18" s="1"/>
    </row>
    <row r="19" spans="1:5" x14ac:dyDescent="0.25">
      <c r="A19" s="1">
        <v>10</v>
      </c>
      <c r="B19" s="1">
        <v>1</v>
      </c>
      <c r="C19" s="4">
        <v>2.7509283567656202</v>
      </c>
      <c r="D19" s="1" t="b">
        <v>0</v>
      </c>
      <c r="E19" s="1"/>
    </row>
    <row r="20" spans="1:5" x14ac:dyDescent="0.25">
      <c r="A20" s="1">
        <v>10</v>
      </c>
      <c r="B20" s="1">
        <v>2</v>
      </c>
      <c r="C20" s="4">
        <v>1.8254851905826499</v>
      </c>
      <c r="D20" s="1" t="b">
        <v>0</v>
      </c>
      <c r="E20" s="1"/>
    </row>
    <row r="21" spans="1:5" x14ac:dyDescent="0.25">
      <c r="A21" s="1">
        <v>10</v>
      </c>
      <c r="B21" s="1">
        <v>3</v>
      </c>
      <c r="C21" s="4">
        <v>1.4426984468706801</v>
      </c>
      <c r="D21" s="1" t="b">
        <v>0</v>
      </c>
      <c r="E21" s="1"/>
    </row>
    <row r="22" spans="1:5" x14ac:dyDescent="0.25">
      <c r="A22" s="1">
        <v>10</v>
      </c>
      <c r="B22" s="1">
        <v>4</v>
      </c>
      <c r="C22" s="4">
        <v>1.1560311718840099</v>
      </c>
      <c r="D22" s="1" t="b">
        <v>0</v>
      </c>
      <c r="E22" s="1"/>
    </row>
    <row r="23" spans="1:5" x14ac:dyDescent="0.25">
      <c r="A23" s="1">
        <v>10</v>
      </c>
      <c r="B23" s="1">
        <v>5</v>
      </c>
      <c r="C23" s="4">
        <v>1.19941925680826</v>
      </c>
      <c r="D23" s="1" t="b">
        <v>0</v>
      </c>
      <c r="E23" s="1"/>
    </row>
    <row r="24" spans="1:5" x14ac:dyDescent="0.25">
      <c r="A24" s="1">
        <v>10</v>
      </c>
      <c r="B24" s="1">
        <v>6</v>
      </c>
      <c r="C24" s="4">
        <v>1.2439388832974101</v>
      </c>
      <c r="D24" s="1" t="b">
        <v>0</v>
      </c>
      <c r="E24" s="1"/>
    </row>
    <row r="25" spans="1:5" x14ac:dyDescent="0.25">
      <c r="A25" s="1">
        <v>12</v>
      </c>
      <c r="B25" s="1">
        <v>1</v>
      </c>
      <c r="C25" s="4">
        <v>2.8181321224884601</v>
      </c>
      <c r="D25" s="1" t="b">
        <v>0</v>
      </c>
      <c r="E25" s="1"/>
    </row>
    <row r="26" spans="1:5" x14ac:dyDescent="0.25">
      <c r="A26" s="1">
        <v>12</v>
      </c>
      <c r="B26" s="1">
        <v>2</v>
      </c>
      <c r="C26" s="4">
        <v>1.94259006508785</v>
      </c>
      <c r="D26" s="1" t="b">
        <v>0</v>
      </c>
      <c r="E26" s="1"/>
    </row>
    <row r="27" spans="1:5" x14ac:dyDescent="0.25">
      <c r="A27" s="1">
        <v>12</v>
      </c>
      <c r="B27" s="1">
        <v>3</v>
      </c>
      <c r="C27" s="4">
        <v>1.60949663084087</v>
      </c>
      <c r="D27" s="1" t="b">
        <v>0</v>
      </c>
      <c r="E27" s="1"/>
    </row>
    <row r="28" spans="1:5" x14ac:dyDescent="0.25">
      <c r="A28" s="1">
        <v>12</v>
      </c>
      <c r="B28" s="1">
        <v>4</v>
      </c>
      <c r="C28" s="4">
        <v>1.2575133926437101</v>
      </c>
      <c r="D28" s="1" t="b">
        <v>0</v>
      </c>
      <c r="E28" s="1"/>
    </row>
    <row r="29" spans="1:5" x14ac:dyDescent="0.25">
      <c r="A29" s="1">
        <v>12</v>
      </c>
      <c r="B29" s="1">
        <v>5</v>
      </c>
      <c r="C29" s="4">
        <v>1.31020952985675</v>
      </c>
      <c r="D29" s="1" t="b">
        <v>0</v>
      </c>
      <c r="E29" s="1"/>
    </row>
    <row r="30" spans="1:5" x14ac:dyDescent="0.25">
      <c r="A30" s="1">
        <v>14</v>
      </c>
      <c r="B30" s="1">
        <v>1</v>
      </c>
      <c r="C30" s="4">
        <v>2.8826196413237901</v>
      </c>
      <c r="D30" s="1" t="b">
        <v>0</v>
      </c>
      <c r="E30" s="1"/>
    </row>
    <row r="31" spans="1:5" x14ac:dyDescent="0.25">
      <c r="A31" s="1">
        <v>14</v>
      </c>
      <c r="B31" s="1">
        <v>2</v>
      </c>
      <c r="C31" s="4">
        <v>2.0587893798447801</v>
      </c>
      <c r="D31" s="1" t="b">
        <v>0</v>
      </c>
      <c r="E31" s="1"/>
    </row>
    <row r="32" spans="1:5" x14ac:dyDescent="0.25">
      <c r="A32" s="1">
        <v>14</v>
      </c>
      <c r="B32" s="1">
        <v>3</v>
      </c>
      <c r="C32" s="4">
        <v>1.7910418177388301</v>
      </c>
      <c r="D32" s="1" t="b">
        <v>0</v>
      </c>
      <c r="E32" s="1"/>
    </row>
    <row r="33" spans="1:5" x14ac:dyDescent="0.25">
      <c r="A33" s="1">
        <v>14</v>
      </c>
      <c r="B33" s="1">
        <v>4</v>
      </c>
      <c r="C33" s="4">
        <v>1.44099240581344</v>
      </c>
      <c r="D33" s="1" t="b">
        <v>0</v>
      </c>
      <c r="E33" s="1"/>
    </row>
    <row r="34" spans="1:5" x14ac:dyDescent="0.25">
      <c r="A34" s="1"/>
      <c r="B34" s="1"/>
      <c r="C34" s="1"/>
      <c r="D34" s="1"/>
      <c r="E34" s="1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3"/>
  <sheetViews>
    <sheetView workbookViewId="0">
      <selection activeCell="C29" sqref="C29"/>
    </sheetView>
  </sheetViews>
  <sheetFormatPr defaultColWidth="9" defaultRowHeight="14" x14ac:dyDescent="0.25"/>
  <cols>
    <col min="2" max="2" width="14.90625" customWidth="1"/>
    <col min="3" max="3" width="40.08984375" customWidth="1"/>
    <col min="4" max="4" width="35.6328125" customWidth="1"/>
    <col min="5" max="5" width="31.453125" customWidth="1"/>
    <col min="6" max="6" width="39.453125" customWidth="1"/>
    <col min="7" max="7" width="23.36328125" customWidth="1"/>
    <col min="8" max="8" width="17.6328125" customWidth="1"/>
    <col min="9" max="9" width="23.26953125" bestFit="1" customWidth="1"/>
    <col min="15" max="15" width="16.26953125" customWidth="1"/>
    <col min="16" max="16" width="13.453125" customWidth="1"/>
    <col min="17" max="17" width="13.54296875" customWidth="1"/>
    <col min="18" max="18" width="15.36328125" customWidth="1"/>
    <col min="19" max="19" width="16.453125" customWidth="1"/>
  </cols>
  <sheetData>
    <row r="1" spans="1:23" x14ac:dyDescent="0.25">
      <c r="A1" s="3" t="s">
        <v>0</v>
      </c>
      <c r="B1" s="3" t="s">
        <v>4</v>
      </c>
      <c r="C1" s="3" t="s">
        <v>6</v>
      </c>
      <c r="D1" s="3" t="s">
        <v>7</v>
      </c>
      <c r="E1" s="3" t="s">
        <v>8</v>
      </c>
      <c r="F1" s="3" t="s">
        <v>69</v>
      </c>
      <c r="G1" s="2" t="s">
        <v>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x14ac:dyDescent="0.25">
      <c r="A2" s="5">
        <v>6</v>
      </c>
      <c r="B2" s="5">
        <v>1</v>
      </c>
      <c r="C2" s="5">
        <v>8.9382601043177905E-3</v>
      </c>
      <c r="D2" s="5">
        <v>0.166186666666718</v>
      </c>
      <c r="E2" s="5">
        <v>2.3798235241403301E-2</v>
      </c>
      <c r="F2" s="5">
        <v>2.4212584684893801</v>
      </c>
      <c r="G2" s="4">
        <v>2.6201816305018202</v>
      </c>
      <c r="H2" s="5"/>
      <c r="I2" s="6"/>
      <c r="J2" s="5"/>
      <c r="K2" s="5"/>
      <c r="L2" s="5"/>
      <c r="M2" s="5"/>
      <c r="N2" s="5"/>
      <c r="O2" s="5"/>
      <c r="P2" s="5"/>
      <c r="Q2" s="5"/>
      <c r="R2" s="5"/>
      <c r="S2" s="5"/>
    </row>
    <row r="3" spans="1:23" x14ac:dyDescent="0.25">
      <c r="A3" s="5">
        <v>6</v>
      </c>
      <c r="B3" s="5">
        <v>2</v>
      </c>
      <c r="C3" s="5">
        <v>2.0222906380863E-2</v>
      </c>
      <c r="D3" s="5">
        <v>0.34013866666676701</v>
      </c>
      <c r="E3" s="5">
        <v>5.0366525913712899E-2</v>
      </c>
      <c r="F3" s="5">
        <v>1.80827742016561</v>
      </c>
      <c r="G3" s="4">
        <v>2.2190055191269602</v>
      </c>
      <c r="H3" s="5"/>
      <c r="I3" s="6"/>
      <c r="J3" s="5"/>
      <c r="K3" s="5"/>
      <c r="L3" s="5"/>
      <c r="M3" s="5"/>
      <c r="N3" s="5"/>
      <c r="O3" s="5"/>
      <c r="P3" s="5"/>
      <c r="Q3" s="5"/>
      <c r="R3" s="5"/>
      <c r="S3" s="5"/>
    </row>
    <row r="4" spans="1:23" x14ac:dyDescent="0.25">
      <c r="A4" s="5">
        <v>6</v>
      </c>
      <c r="B4" s="5">
        <v>3</v>
      </c>
      <c r="C4" s="5">
        <v>4.36962120736002E-2</v>
      </c>
      <c r="D4" s="5">
        <v>0.50885870500422203</v>
      </c>
      <c r="E4" s="5">
        <v>8.1738360420376799E-2</v>
      </c>
      <c r="F4" s="5">
        <v>1.1377299094970601</v>
      </c>
      <c r="G4" s="4">
        <v>1.7720231869952601</v>
      </c>
      <c r="H4" s="5"/>
      <c r="I4" s="6"/>
      <c r="J4" s="5"/>
      <c r="K4" s="5"/>
      <c r="L4" s="5"/>
      <c r="M4" s="5"/>
      <c r="N4" s="5"/>
      <c r="O4" s="5"/>
      <c r="P4" s="5"/>
      <c r="Q4" s="5"/>
      <c r="R4" s="5"/>
      <c r="S4" s="5"/>
    </row>
    <row r="5" spans="1:23" x14ac:dyDescent="0.25">
      <c r="A5" s="5">
        <v>6</v>
      </c>
      <c r="B5" s="5">
        <v>4</v>
      </c>
      <c r="C5" s="5">
        <v>8.6709071797164805E-2</v>
      </c>
      <c r="D5" s="5">
        <v>0.64895331280527002</v>
      </c>
      <c r="E5" s="5">
        <v>0.116088261297446</v>
      </c>
      <c r="F5" s="5">
        <v>0.49998943218180297</v>
      </c>
      <c r="G5" s="4">
        <v>1.3518141996287201</v>
      </c>
      <c r="H5" s="5"/>
      <c r="I5" s="6"/>
      <c r="J5" s="5"/>
      <c r="K5" s="5"/>
      <c r="L5" s="5"/>
      <c r="M5" s="5"/>
      <c r="N5" s="5"/>
      <c r="O5" s="5"/>
      <c r="P5" s="5"/>
      <c r="Q5" s="5"/>
      <c r="R5" s="5"/>
      <c r="S5" s="5"/>
    </row>
    <row r="6" spans="1:23" x14ac:dyDescent="0.25">
      <c r="A6" s="5">
        <v>6</v>
      </c>
      <c r="B6" s="5">
        <v>5</v>
      </c>
      <c r="C6" s="5">
        <v>0.10594113354387701</v>
      </c>
      <c r="D6" s="5">
        <v>0.73671241711671598</v>
      </c>
      <c r="E6" s="5">
        <v>0.13173715691781601</v>
      </c>
      <c r="F6" s="5">
        <v>0.14909886420877799</v>
      </c>
      <c r="G6" s="4">
        <v>1.12395602740389</v>
      </c>
      <c r="H6" s="5"/>
      <c r="I6" s="6"/>
      <c r="J6" s="5"/>
      <c r="K6" s="5"/>
      <c r="L6" s="5"/>
      <c r="M6" s="5"/>
      <c r="N6" s="5"/>
      <c r="O6" s="5"/>
      <c r="P6" s="5"/>
      <c r="Q6" s="5"/>
      <c r="R6" s="5"/>
      <c r="S6" s="5"/>
    </row>
    <row r="7" spans="1:23" x14ac:dyDescent="0.25">
      <c r="A7" s="5">
        <v>6</v>
      </c>
      <c r="B7" s="5">
        <v>6</v>
      </c>
      <c r="C7" s="5">
        <v>0.108773372354704</v>
      </c>
      <c r="D7" s="5">
        <v>0.78142044849877701</v>
      </c>
      <c r="E7" s="5">
        <v>0.144914597679174</v>
      </c>
      <c r="F7" s="5">
        <v>8.1831045247388202E-3</v>
      </c>
      <c r="G7" s="4">
        <v>1.0435839980982999</v>
      </c>
      <c r="H7" s="5"/>
      <c r="I7" s="6"/>
      <c r="J7" s="5"/>
      <c r="K7" s="5"/>
      <c r="L7" s="5"/>
      <c r="M7" s="5"/>
      <c r="N7" s="5"/>
      <c r="O7" s="5"/>
      <c r="P7" s="5"/>
      <c r="Q7" s="5"/>
      <c r="R7" s="5"/>
      <c r="S7" s="5"/>
    </row>
    <row r="8" spans="1:23" x14ac:dyDescent="0.25">
      <c r="A8" s="5">
        <v>6</v>
      </c>
      <c r="B8" s="5">
        <v>7</v>
      </c>
      <c r="C8" s="5">
        <v>0.111650359825896</v>
      </c>
      <c r="D8" s="5">
        <v>0.79951998078671305</v>
      </c>
      <c r="E8" s="5">
        <v>0.14419457638488001</v>
      </c>
      <c r="F8" s="5">
        <v>3.8795438151460102E-3</v>
      </c>
      <c r="G8" s="4">
        <v>1.0596719521389499</v>
      </c>
      <c r="H8" s="5"/>
      <c r="I8" s="6"/>
      <c r="J8" s="5"/>
      <c r="K8" s="5"/>
      <c r="L8" s="5"/>
      <c r="M8" s="5"/>
      <c r="N8" s="5"/>
      <c r="O8" s="5"/>
      <c r="P8" s="5"/>
      <c r="Q8" s="5"/>
      <c r="R8" s="5"/>
      <c r="S8" s="5"/>
    </row>
    <row r="9" spans="1:23" x14ac:dyDescent="0.25">
      <c r="A9" s="5">
        <v>6</v>
      </c>
      <c r="B9" s="5">
        <v>8</v>
      </c>
      <c r="C9" s="5">
        <v>0.115494557787982</v>
      </c>
      <c r="D9" s="5">
        <v>0.82185494549640703</v>
      </c>
      <c r="E9" s="5">
        <v>0.14472221358290699</v>
      </c>
      <c r="F9" s="5">
        <v>3.3908162432803198E-5</v>
      </c>
      <c r="G9" s="4">
        <v>1.0824680410596701</v>
      </c>
      <c r="H9" s="5"/>
      <c r="I9" s="6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23" x14ac:dyDescent="0.25">
      <c r="A10" s="5">
        <v>6</v>
      </c>
      <c r="B10" s="5">
        <v>9</v>
      </c>
      <c r="C10" s="5">
        <v>0.127508703044063</v>
      </c>
      <c r="D10" s="5">
        <v>0.820282367109189</v>
      </c>
      <c r="E10" s="5">
        <v>0.157394754962458</v>
      </c>
      <c r="F10" s="5">
        <v>1.91249023442046E-5</v>
      </c>
      <c r="G10" s="4">
        <v>1.1053837582620401</v>
      </c>
      <c r="H10" s="5"/>
      <c r="I10" s="6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3" x14ac:dyDescent="0.25">
      <c r="A11" s="5">
        <v>6</v>
      </c>
      <c r="B11" s="5">
        <v>10</v>
      </c>
      <c r="C11" s="5">
        <v>0.130070682461951</v>
      </c>
      <c r="D11" s="5">
        <v>0.84696841521476796</v>
      </c>
      <c r="E11" s="5">
        <v>0.15555783490715899</v>
      </c>
      <c r="F11" s="5">
        <v>1.08595670572895E-4</v>
      </c>
      <c r="G11" s="4">
        <v>1.13307858006312</v>
      </c>
      <c r="H11" s="5"/>
      <c r="I11" s="6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23" x14ac:dyDescent="0.25">
      <c r="A12" s="5"/>
      <c r="B12" s="5"/>
      <c r="C12" s="5"/>
      <c r="D12" s="5"/>
      <c r="E12" s="5"/>
      <c r="F12" s="5"/>
      <c r="G12" s="5"/>
      <c r="H12" s="5"/>
    </row>
    <row r="13" spans="1:23" x14ac:dyDescent="0.25">
      <c r="A13" s="5"/>
      <c r="B13" s="5"/>
      <c r="C13" s="5"/>
      <c r="D13" s="5"/>
      <c r="E13" s="5"/>
      <c r="F13" s="5"/>
      <c r="G13" s="5"/>
      <c r="H13" s="5"/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1"/>
  <sheetViews>
    <sheetView workbookViewId="0">
      <selection activeCell="P2" sqref="P2"/>
    </sheetView>
  </sheetViews>
  <sheetFormatPr defaultColWidth="9" defaultRowHeight="14" x14ac:dyDescent="0.25"/>
  <cols>
    <col min="1" max="3" width="9" style="5"/>
    <col min="4" max="4" width="26.90625" style="5" customWidth="1"/>
    <col min="5" max="5" width="27.26953125" style="5" customWidth="1"/>
    <col min="6" max="6" width="23.90625" style="5" customWidth="1"/>
    <col min="7" max="7" width="9" style="5"/>
    <col min="8" max="8" width="26.453125" style="5" customWidth="1"/>
    <col min="9" max="9" width="16.81640625" style="5" bestFit="1" customWidth="1"/>
    <col min="10" max="16384" width="9" style="5"/>
  </cols>
  <sheetData>
    <row r="1" spans="1:6" x14ac:dyDescent="0.25">
      <c r="A1" s="3" t="s">
        <v>9</v>
      </c>
      <c r="B1" s="3" t="s">
        <v>10</v>
      </c>
      <c r="C1" s="3" t="s">
        <v>4</v>
      </c>
      <c r="D1" s="3" t="s">
        <v>11</v>
      </c>
      <c r="E1" s="3" t="s">
        <v>12</v>
      </c>
      <c r="F1" s="3" t="s">
        <v>13</v>
      </c>
    </row>
    <row r="2" spans="1:6" x14ac:dyDescent="0.25">
      <c r="A2" s="5">
        <v>0.5</v>
      </c>
      <c r="B2" s="5">
        <v>0.5</v>
      </c>
      <c r="C2" s="5">
        <v>1</v>
      </c>
      <c r="D2" s="5">
        <v>156700163.815166</v>
      </c>
      <c r="E2" s="5">
        <v>113439241.91930699</v>
      </c>
      <c r="F2" s="5">
        <v>0.38135764276908402</v>
      </c>
    </row>
    <row r="3" spans="1:6" x14ac:dyDescent="0.25">
      <c r="A3" s="5">
        <v>0.5</v>
      </c>
      <c r="B3" s="5">
        <v>0.5</v>
      </c>
      <c r="C3" s="5">
        <v>2</v>
      </c>
      <c r="D3" s="5">
        <v>147196750.97496301</v>
      </c>
      <c r="E3" s="5">
        <v>113439241.91930699</v>
      </c>
      <c r="F3" s="5">
        <v>0.297582287086057</v>
      </c>
    </row>
    <row r="4" spans="1:6" x14ac:dyDescent="0.25">
      <c r="A4" s="5">
        <v>0.5</v>
      </c>
      <c r="B4" s="5">
        <v>0.5</v>
      </c>
      <c r="C4" s="5">
        <v>3</v>
      </c>
      <c r="D4" s="5">
        <v>134432117.54971999</v>
      </c>
      <c r="E4" s="5">
        <v>113439241.91930699</v>
      </c>
      <c r="F4" s="5">
        <v>0.18505832087052701</v>
      </c>
    </row>
    <row r="5" spans="1:6" x14ac:dyDescent="0.25">
      <c r="A5" s="5">
        <v>0.5</v>
      </c>
      <c r="B5" s="5">
        <v>0.5</v>
      </c>
      <c r="C5" s="5">
        <v>4</v>
      </c>
      <c r="D5" s="5">
        <v>122138276.61419401</v>
      </c>
      <c r="E5" s="5">
        <v>113439241.91930699</v>
      </c>
      <c r="F5" s="5">
        <v>7.6684527749887405E-2</v>
      </c>
    </row>
    <row r="6" spans="1:6" x14ac:dyDescent="0.25">
      <c r="A6" s="5">
        <v>0.5</v>
      </c>
      <c r="B6" s="5">
        <v>0.5</v>
      </c>
      <c r="C6" s="5">
        <v>5</v>
      </c>
      <c r="D6" s="5">
        <v>116314660.622787</v>
      </c>
      <c r="E6" s="5">
        <v>113439241.91930699</v>
      </c>
      <c r="F6" s="5">
        <v>2.53476544344776E-2</v>
      </c>
    </row>
    <row r="7" spans="1:6" x14ac:dyDescent="0.25">
      <c r="A7" s="5">
        <v>0.5</v>
      </c>
      <c r="B7" s="5">
        <v>0.5</v>
      </c>
      <c r="C7" s="5">
        <v>6</v>
      </c>
      <c r="D7" s="5">
        <v>113439241.91930699</v>
      </c>
      <c r="E7" s="5">
        <v>113439241.91930699</v>
      </c>
      <c r="F7" s="5">
        <v>0</v>
      </c>
    </row>
    <row r="8" spans="1:6" x14ac:dyDescent="0.25">
      <c r="A8" s="5">
        <v>0.5</v>
      </c>
      <c r="B8" s="5">
        <v>0.5</v>
      </c>
      <c r="C8" s="5">
        <v>7</v>
      </c>
      <c r="D8" s="5">
        <v>115209506.727771</v>
      </c>
      <c r="E8" s="5">
        <v>113439241.91930699</v>
      </c>
      <c r="F8" s="5">
        <v>1.5605400551978701E-2</v>
      </c>
    </row>
    <row r="9" spans="1:6" x14ac:dyDescent="0.25">
      <c r="A9" s="5">
        <v>0.5</v>
      </c>
      <c r="B9" s="5">
        <v>0.5</v>
      </c>
      <c r="C9" s="5">
        <v>8</v>
      </c>
      <c r="D9" s="5">
        <v>117404114.499126</v>
      </c>
      <c r="E9" s="5">
        <v>113439241.91930699</v>
      </c>
      <c r="F9" s="5">
        <v>3.4951508073715297E-2</v>
      </c>
    </row>
    <row r="10" spans="1:6" x14ac:dyDescent="0.25">
      <c r="A10" s="5">
        <v>0.5</v>
      </c>
      <c r="B10" s="5">
        <v>0.5</v>
      </c>
      <c r="C10" s="5">
        <v>9</v>
      </c>
      <c r="D10" s="5">
        <v>119733921.11491799</v>
      </c>
      <c r="E10" s="5">
        <v>113439241.91930699</v>
      </c>
      <c r="F10" s="5">
        <v>5.5489432837437402E-2</v>
      </c>
    </row>
    <row r="11" spans="1:6" x14ac:dyDescent="0.25">
      <c r="A11" s="5">
        <v>0.5</v>
      </c>
      <c r="B11" s="5">
        <v>0.5</v>
      </c>
      <c r="C11" s="5">
        <v>10</v>
      </c>
      <c r="D11" s="5">
        <v>122723460.985034</v>
      </c>
      <c r="E11" s="5">
        <v>113439241.91930699</v>
      </c>
      <c r="F11" s="5">
        <v>8.1843098637162603E-2</v>
      </c>
    </row>
    <row r="12" spans="1:6" x14ac:dyDescent="0.25">
      <c r="A12" s="5">
        <v>0.5</v>
      </c>
      <c r="B12" s="5">
        <v>1</v>
      </c>
      <c r="C12" s="5">
        <v>1</v>
      </c>
      <c r="D12" s="5">
        <v>140956524.724502</v>
      </c>
      <c r="E12" s="5">
        <v>104183993.678826</v>
      </c>
      <c r="F12" s="5">
        <v>0.35295758731458998</v>
      </c>
    </row>
    <row r="13" spans="1:6" x14ac:dyDescent="0.25">
      <c r="A13" s="5">
        <v>0.5</v>
      </c>
      <c r="B13" s="5">
        <v>1</v>
      </c>
      <c r="C13" s="5">
        <v>2</v>
      </c>
      <c r="D13" s="5">
        <v>131447689.019025</v>
      </c>
      <c r="E13" s="5">
        <v>104183993.678826</v>
      </c>
      <c r="F13" s="5">
        <v>0.26168794627173803</v>
      </c>
    </row>
    <row r="14" spans="1:6" x14ac:dyDescent="0.25">
      <c r="A14" s="5">
        <v>0.5</v>
      </c>
      <c r="B14" s="5">
        <v>1</v>
      </c>
      <c r="C14" s="5">
        <v>3</v>
      </c>
      <c r="D14" s="5">
        <v>120308907.367109</v>
      </c>
      <c r="E14" s="5">
        <v>104183993.678826</v>
      </c>
      <c r="F14" s="5">
        <v>0.15477342650150699</v>
      </c>
    </row>
    <row r="15" spans="1:6" x14ac:dyDescent="0.25">
      <c r="A15" s="5">
        <v>0.5</v>
      </c>
      <c r="B15" s="5">
        <v>1</v>
      </c>
      <c r="C15" s="5">
        <v>4</v>
      </c>
      <c r="D15" s="5">
        <v>110284998.19079299</v>
      </c>
      <c r="E15" s="5">
        <v>104183993.678826</v>
      </c>
      <c r="F15" s="5">
        <v>5.8559902500717499E-2</v>
      </c>
    </row>
    <row r="16" spans="1:6" x14ac:dyDescent="0.25">
      <c r="A16" s="5">
        <v>0.5</v>
      </c>
      <c r="B16" s="5">
        <v>1</v>
      </c>
      <c r="C16" s="5">
        <v>5</v>
      </c>
      <c r="D16" s="5">
        <v>105207614.799567</v>
      </c>
      <c r="E16" s="5">
        <v>104183993.678826</v>
      </c>
      <c r="F16" s="5">
        <v>9.8251284539626407E-3</v>
      </c>
    </row>
    <row r="17" spans="1:6" x14ac:dyDescent="0.25">
      <c r="A17" s="5">
        <v>0.5</v>
      </c>
      <c r="B17" s="5">
        <v>1</v>
      </c>
      <c r="C17" s="5">
        <v>6</v>
      </c>
      <c r="D17" s="5">
        <v>104183993.678826</v>
      </c>
      <c r="E17" s="5">
        <v>104183993.678826</v>
      </c>
      <c r="F17" s="5">
        <v>0</v>
      </c>
    </row>
    <row r="18" spans="1:6" x14ac:dyDescent="0.25">
      <c r="A18" s="5">
        <v>0.5</v>
      </c>
      <c r="B18" s="5">
        <v>1</v>
      </c>
      <c r="C18" s="5">
        <v>7</v>
      </c>
      <c r="D18" s="5">
        <v>105778126.929763</v>
      </c>
      <c r="E18" s="5">
        <v>104183993.678826</v>
      </c>
      <c r="F18" s="5">
        <v>1.53011340288176E-2</v>
      </c>
    </row>
    <row r="19" spans="1:6" x14ac:dyDescent="0.25">
      <c r="A19" s="5">
        <v>0.5</v>
      </c>
      <c r="B19" s="5">
        <v>1</v>
      </c>
      <c r="C19" s="5">
        <v>8</v>
      </c>
      <c r="D19" s="5">
        <v>108431507.04946899</v>
      </c>
      <c r="E19" s="5">
        <v>104183993.678826</v>
      </c>
      <c r="F19" s="5">
        <v>4.0769346812882502E-2</v>
      </c>
    </row>
    <row r="20" spans="1:6" x14ac:dyDescent="0.25">
      <c r="A20" s="5">
        <v>0.5</v>
      </c>
      <c r="B20" s="5">
        <v>1</v>
      </c>
      <c r="C20" s="5">
        <v>9</v>
      </c>
      <c r="D20" s="5">
        <v>110829116.029837</v>
      </c>
      <c r="E20" s="5">
        <v>104183993.678826</v>
      </c>
      <c r="F20" s="5">
        <v>6.3782565021420906E-2</v>
      </c>
    </row>
    <row r="21" spans="1:6" x14ac:dyDescent="0.25">
      <c r="A21" s="5">
        <v>0.5</v>
      </c>
      <c r="B21" s="5">
        <v>1</v>
      </c>
      <c r="C21" s="5">
        <v>10</v>
      </c>
      <c r="D21" s="5">
        <v>113148431.36984999</v>
      </c>
      <c r="E21" s="5">
        <v>104183993.678826</v>
      </c>
      <c r="F21" s="5">
        <v>8.6044289285547304E-2</v>
      </c>
    </row>
    <row r="22" spans="1:6" x14ac:dyDescent="0.25">
      <c r="A22" s="5">
        <v>0.5</v>
      </c>
      <c r="B22" s="5">
        <v>1.5</v>
      </c>
      <c r="C22" s="5">
        <v>1</v>
      </c>
      <c r="D22" s="5">
        <v>125211601.345596</v>
      </c>
      <c r="E22" s="5">
        <v>93894424.742921099</v>
      </c>
      <c r="F22" s="5">
        <v>0.33353606125624802</v>
      </c>
    </row>
    <row r="23" spans="1:6" x14ac:dyDescent="0.25">
      <c r="A23" s="5">
        <v>0.5</v>
      </c>
      <c r="B23" s="5">
        <v>1.5</v>
      </c>
      <c r="C23" s="5">
        <v>2</v>
      </c>
      <c r="D23" s="5">
        <v>115741937.193477</v>
      </c>
      <c r="E23" s="5">
        <v>93894424.742921099</v>
      </c>
      <c r="F23" s="5">
        <v>0.23268167956057001</v>
      </c>
    </row>
    <row r="24" spans="1:6" x14ac:dyDescent="0.25">
      <c r="A24" s="5">
        <v>0.5</v>
      </c>
      <c r="B24" s="5">
        <v>1.5</v>
      </c>
      <c r="C24" s="5">
        <v>3</v>
      </c>
      <c r="D24" s="5">
        <v>106331081.669678</v>
      </c>
      <c r="E24" s="5">
        <v>93894424.742921099</v>
      </c>
      <c r="F24" s="5">
        <v>0.13245362502414701</v>
      </c>
    </row>
    <row r="25" spans="1:6" x14ac:dyDescent="0.25">
      <c r="A25" s="5">
        <v>0.5</v>
      </c>
      <c r="B25" s="5">
        <v>1.5</v>
      </c>
      <c r="C25" s="5">
        <v>4</v>
      </c>
      <c r="D25" s="5">
        <v>98300793.645332202</v>
      </c>
      <c r="E25" s="5">
        <v>93894424.742921099</v>
      </c>
      <c r="F25" s="5">
        <v>4.6928972774214803E-2</v>
      </c>
    </row>
    <row r="26" spans="1:6" x14ac:dyDescent="0.25">
      <c r="A26" s="5">
        <v>0.5</v>
      </c>
      <c r="B26" s="5">
        <v>1.5</v>
      </c>
      <c r="C26" s="5">
        <v>5</v>
      </c>
      <c r="D26" s="5">
        <v>93894424.742921099</v>
      </c>
      <c r="E26" s="5">
        <v>93894424.742921099</v>
      </c>
      <c r="F26" s="5">
        <v>0</v>
      </c>
    </row>
    <row r="27" spans="1:6" x14ac:dyDescent="0.25">
      <c r="A27" s="5">
        <v>0.5</v>
      </c>
      <c r="B27" s="5">
        <v>1.5</v>
      </c>
      <c r="C27" s="5">
        <v>6</v>
      </c>
      <c r="D27" s="5">
        <v>94699783.037366107</v>
      </c>
      <c r="E27" s="5">
        <v>93894424.742921099</v>
      </c>
      <c r="F27" s="5">
        <v>8.5772749196781906E-3</v>
      </c>
    </row>
    <row r="28" spans="1:6" x14ac:dyDescent="0.25">
      <c r="A28" s="5">
        <v>0.5</v>
      </c>
      <c r="B28" s="5">
        <v>1.5</v>
      </c>
      <c r="C28" s="5">
        <v>7</v>
      </c>
      <c r="D28" s="5">
        <v>96560096.270924106</v>
      </c>
      <c r="E28" s="5">
        <v>93894424.742921099</v>
      </c>
      <c r="F28" s="5">
        <v>2.8390093824010702E-2</v>
      </c>
    </row>
    <row r="29" spans="1:6" x14ac:dyDescent="0.25">
      <c r="A29" s="5">
        <v>0.5</v>
      </c>
      <c r="B29" s="5">
        <v>1.5</v>
      </c>
      <c r="C29" s="5">
        <v>8</v>
      </c>
      <c r="D29" s="5">
        <v>99247517.254382297</v>
      </c>
      <c r="E29" s="5">
        <v>93894424.742921099</v>
      </c>
      <c r="F29" s="5">
        <v>5.7011824995123403E-2</v>
      </c>
    </row>
    <row r="30" spans="1:6" x14ac:dyDescent="0.25">
      <c r="A30" s="5">
        <v>0.5</v>
      </c>
      <c r="B30" s="5">
        <v>1.5</v>
      </c>
      <c r="C30" s="5">
        <v>9</v>
      </c>
      <c r="D30" s="5">
        <v>101603816.34903599</v>
      </c>
      <c r="E30" s="5">
        <v>93894424.742921099</v>
      </c>
      <c r="F30" s="5">
        <v>8.2107022085952802E-2</v>
      </c>
    </row>
    <row r="31" spans="1:6" x14ac:dyDescent="0.25">
      <c r="A31" s="5">
        <v>0.5</v>
      </c>
      <c r="B31" s="5">
        <v>1.5</v>
      </c>
      <c r="C31" s="5">
        <v>10</v>
      </c>
      <c r="D31" s="5">
        <v>104493598.582698</v>
      </c>
      <c r="E31" s="5">
        <v>93894424.742921099</v>
      </c>
      <c r="F31" s="5">
        <v>0.11288395310794</v>
      </c>
    </row>
    <row r="32" spans="1:6" x14ac:dyDescent="0.25">
      <c r="A32" s="5">
        <v>0.5</v>
      </c>
      <c r="B32" s="5">
        <v>2</v>
      </c>
      <c r="C32" s="5">
        <v>1</v>
      </c>
      <c r="D32" s="5">
        <v>109466676.345596</v>
      </c>
      <c r="E32" s="5">
        <v>83726926.907491103</v>
      </c>
      <c r="F32" s="5">
        <v>0.307424987262993</v>
      </c>
    </row>
    <row r="33" spans="1:6" x14ac:dyDescent="0.25">
      <c r="A33" s="5">
        <v>0.5</v>
      </c>
      <c r="B33" s="5">
        <v>2</v>
      </c>
      <c r="C33" s="5">
        <v>2</v>
      </c>
      <c r="D33" s="5">
        <v>99833324.818374306</v>
      </c>
      <c r="E33" s="5">
        <v>83726926.907491103</v>
      </c>
      <c r="F33" s="5">
        <v>0.19236819629936899</v>
      </c>
    </row>
    <row r="34" spans="1:6" x14ac:dyDescent="0.25">
      <c r="A34" s="5">
        <v>0.5</v>
      </c>
      <c r="B34" s="5">
        <v>2</v>
      </c>
      <c r="C34" s="5">
        <v>3</v>
      </c>
      <c r="D34" s="5">
        <v>92370481.055702403</v>
      </c>
      <c r="E34" s="5">
        <v>83726926.907491103</v>
      </c>
      <c r="F34" s="5">
        <v>0.103235057913465</v>
      </c>
    </row>
    <row r="35" spans="1:6" x14ac:dyDescent="0.25">
      <c r="A35" s="5">
        <v>0.5</v>
      </c>
      <c r="B35" s="5">
        <v>2</v>
      </c>
      <c r="C35" s="5">
        <v>4</v>
      </c>
      <c r="D35" s="5">
        <v>86280281.618453607</v>
      </c>
      <c r="E35" s="5">
        <v>83726926.907491103</v>
      </c>
      <c r="F35" s="5">
        <v>3.0496219140870199E-2</v>
      </c>
    </row>
    <row r="36" spans="1:6" x14ac:dyDescent="0.25">
      <c r="A36" s="5">
        <v>0.5</v>
      </c>
      <c r="B36" s="5">
        <v>2</v>
      </c>
      <c r="C36" s="5">
        <v>5</v>
      </c>
      <c r="D36" s="5">
        <v>83726926.907491103</v>
      </c>
      <c r="E36" s="5">
        <v>83726926.907491103</v>
      </c>
      <c r="F36" s="5">
        <v>0</v>
      </c>
    </row>
    <row r="37" spans="1:6" x14ac:dyDescent="0.25">
      <c r="A37" s="5">
        <v>0.5</v>
      </c>
      <c r="B37" s="5">
        <v>2</v>
      </c>
      <c r="C37" s="5">
        <v>6</v>
      </c>
      <c r="D37" s="5">
        <v>85324429.869993001</v>
      </c>
      <c r="E37" s="5">
        <v>83726926.907491103</v>
      </c>
      <c r="F37" s="5">
        <v>1.9079918749041299E-2</v>
      </c>
    </row>
    <row r="38" spans="1:6" x14ac:dyDescent="0.25">
      <c r="A38" s="5">
        <v>0.5</v>
      </c>
      <c r="B38" s="5">
        <v>2</v>
      </c>
      <c r="C38" s="5">
        <v>7</v>
      </c>
      <c r="D38" s="5">
        <v>87702001.752589703</v>
      </c>
      <c r="E38" s="5">
        <v>83726926.907491103</v>
      </c>
      <c r="F38" s="5">
        <v>4.7476660041405598E-2</v>
      </c>
    </row>
    <row r="39" spans="1:6" x14ac:dyDescent="0.25">
      <c r="A39" s="5">
        <v>0.5</v>
      </c>
      <c r="B39" s="5">
        <v>2</v>
      </c>
      <c r="C39" s="5">
        <v>8</v>
      </c>
      <c r="D39" s="5">
        <v>90232542.181917995</v>
      </c>
      <c r="E39" s="5">
        <v>83726926.907491103</v>
      </c>
      <c r="F39" s="5">
        <v>7.7700394779983306E-2</v>
      </c>
    </row>
    <row r="40" spans="1:6" x14ac:dyDescent="0.25">
      <c r="A40" s="5">
        <v>0.5</v>
      </c>
      <c r="B40" s="5">
        <v>2</v>
      </c>
      <c r="C40" s="5">
        <v>9</v>
      </c>
      <c r="D40" s="5">
        <v>92872289.737478495</v>
      </c>
      <c r="E40" s="5">
        <v>83726926.907491103</v>
      </c>
      <c r="F40" s="5">
        <v>0.10922845454595501</v>
      </c>
    </row>
    <row r="41" spans="1:6" x14ac:dyDescent="0.25">
      <c r="A41" s="5">
        <v>0.5</v>
      </c>
      <c r="B41" s="5">
        <v>2</v>
      </c>
      <c r="C41" s="5">
        <v>10</v>
      </c>
      <c r="D41" s="5">
        <v>95412415.505371705</v>
      </c>
      <c r="E41" s="5">
        <v>83726926.907491103</v>
      </c>
      <c r="F41" s="5">
        <v>0.13956667262840999</v>
      </c>
    </row>
    <row r="42" spans="1:6" x14ac:dyDescent="0.25">
      <c r="A42" s="5">
        <v>0.5</v>
      </c>
      <c r="B42" s="5">
        <v>2.5</v>
      </c>
      <c r="C42" s="5">
        <v>1</v>
      </c>
      <c r="D42" s="5">
        <v>93721751.384658605</v>
      </c>
      <c r="E42" s="5">
        <v>74124955.319636405</v>
      </c>
      <c r="F42" s="5">
        <v>0.26437514843035398</v>
      </c>
    </row>
    <row r="43" spans="1:6" x14ac:dyDescent="0.25">
      <c r="A43" s="5">
        <v>0.5</v>
      </c>
      <c r="B43" s="5">
        <v>2.5</v>
      </c>
      <c r="C43" s="5">
        <v>2</v>
      </c>
      <c r="D43" s="5">
        <v>84169295.427856296</v>
      </c>
      <c r="E43" s="5">
        <v>74124955.319636405</v>
      </c>
      <c r="F43" s="5">
        <v>0.13550551315555601</v>
      </c>
    </row>
    <row r="44" spans="1:6" x14ac:dyDescent="0.25">
      <c r="A44" s="5">
        <v>0.5</v>
      </c>
      <c r="B44" s="5">
        <v>2.5</v>
      </c>
      <c r="C44" s="5">
        <v>3</v>
      </c>
      <c r="D44" s="5">
        <v>79251417.988086998</v>
      </c>
      <c r="E44" s="5">
        <v>74124955.319636405</v>
      </c>
      <c r="F44" s="5">
        <v>6.9159740418657703E-2</v>
      </c>
    </row>
    <row r="45" spans="1:6" x14ac:dyDescent="0.25">
      <c r="A45" s="5">
        <v>0.5</v>
      </c>
      <c r="B45" s="5">
        <v>2.5</v>
      </c>
      <c r="C45" s="5">
        <v>4</v>
      </c>
      <c r="D45" s="5">
        <v>74892194.718984306</v>
      </c>
      <c r="E45" s="5">
        <v>74124955.319636405</v>
      </c>
      <c r="F45" s="5">
        <v>1.0350622081855001E-2</v>
      </c>
    </row>
    <row r="46" spans="1:6" x14ac:dyDescent="0.25">
      <c r="A46" s="5">
        <v>0.5</v>
      </c>
      <c r="B46" s="5">
        <v>2.5</v>
      </c>
      <c r="C46" s="5">
        <v>5</v>
      </c>
      <c r="D46" s="5">
        <v>74124955.319636405</v>
      </c>
      <c r="E46" s="5">
        <v>74124955.319636405</v>
      </c>
      <c r="F46" s="5">
        <v>0</v>
      </c>
    </row>
    <row r="47" spans="1:6" x14ac:dyDescent="0.25">
      <c r="A47" s="5">
        <v>0.5</v>
      </c>
      <c r="B47" s="5">
        <v>2.5</v>
      </c>
      <c r="C47" s="5">
        <v>6</v>
      </c>
      <c r="D47" s="5">
        <v>76113479.8243801</v>
      </c>
      <c r="E47" s="5">
        <v>74124955.319636405</v>
      </c>
      <c r="F47" s="5">
        <v>2.6826653671074299E-2</v>
      </c>
    </row>
    <row r="48" spans="1:6" x14ac:dyDescent="0.25">
      <c r="A48" s="5">
        <v>0.5</v>
      </c>
      <c r="B48" s="5">
        <v>2.5</v>
      </c>
      <c r="C48" s="5">
        <v>7</v>
      </c>
      <c r="D48" s="5">
        <v>78577588.870548904</v>
      </c>
      <c r="E48" s="5">
        <v>74124955.319636405</v>
      </c>
      <c r="F48" s="5">
        <v>6.0069291532280203E-2</v>
      </c>
    </row>
    <row r="49" spans="1:9" x14ac:dyDescent="0.25">
      <c r="A49" s="5">
        <v>0.5</v>
      </c>
      <c r="B49" s="5">
        <v>2.5</v>
      </c>
      <c r="C49" s="5">
        <v>8</v>
      </c>
      <c r="D49" s="5">
        <v>80888222.920511305</v>
      </c>
      <c r="E49" s="5">
        <v>74124955.319636405</v>
      </c>
      <c r="F49" s="5">
        <v>9.1241439157849893E-2</v>
      </c>
    </row>
    <row r="50" spans="1:9" x14ac:dyDescent="0.25">
      <c r="A50" s="5">
        <v>0.5</v>
      </c>
      <c r="B50" s="5">
        <v>2.5</v>
      </c>
      <c r="C50" s="5">
        <v>9</v>
      </c>
      <c r="D50" s="5">
        <v>83625237.921916798</v>
      </c>
      <c r="E50" s="5">
        <v>74124955.319636405</v>
      </c>
      <c r="F50" s="5">
        <v>0.128165778465754</v>
      </c>
    </row>
    <row r="51" spans="1:9" x14ac:dyDescent="0.25">
      <c r="A51" s="5">
        <v>0.5</v>
      </c>
      <c r="B51" s="5">
        <v>2.5</v>
      </c>
      <c r="C51" s="5">
        <v>10</v>
      </c>
      <c r="D51" s="5">
        <v>86238080.5937327</v>
      </c>
      <c r="E51" s="5">
        <v>74124955.319636405</v>
      </c>
      <c r="F51" s="5">
        <v>0.16341494199710399</v>
      </c>
    </row>
    <row r="52" spans="1:9" x14ac:dyDescent="0.25">
      <c r="A52" s="5">
        <v>1</v>
      </c>
      <c r="B52" s="5">
        <v>0.5</v>
      </c>
      <c r="C52" s="5">
        <v>1</v>
      </c>
      <c r="D52" s="5">
        <v>293508011.429088</v>
      </c>
      <c r="E52" s="5">
        <v>113168372.605593</v>
      </c>
      <c r="F52" s="5">
        <v>1.59355157869066</v>
      </c>
    </row>
    <row r="53" spans="1:9" x14ac:dyDescent="0.25">
      <c r="A53" s="5">
        <v>1</v>
      </c>
      <c r="B53" s="5">
        <v>0.5</v>
      </c>
      <c r="C53" s="5">
        <v>2</v>
      </c>
      <c r="D53" s="5">
        <v>253390040.936133</v>
      </c>
      <c r="E53" s="5">
        <v>113168372.605593</v>
      </c>
      <c r="F53" s="5">
        <v>1.23905350145162</v>
      </c>
    </row>
    <row r="54" spans="1:9" x14ac:dyDescent="0.25">
      <c r="A54" s="5">
        <v>1</v>
      </c>
      <c r="B54" s="5">
        <v>0.5</v>
      </c>
      <c r="C54" s="5">
        <v>3</v>
      </c>
      <c r="D54" s="5">
        <v>203231894.68310201</v>
      </c>
      <c r="E54" s="5">
        <v>113168372.605593</v>
      </c>
      <c r="F54" s="5">
        <v>0.79583650452757404</v>
      </c>
    </row>
    <row r="55" spans="1:9" x14ac:dyDescent="0.25">
      <c r="A55" s="5">
        <v>1</v>
      </c>
      <c r="B55" s="5">
        <v>0.5</v>
      </c>
      <c r="C55" s="5">
        <v>4</v>
      </c>
      <c r="D55" s="5">
        <v>152318202.326776</v>
      </c>
      <c r="E55" s="5">
        <v>113168372.605593</v>
      </c>
      <c r="F55" s="5">
        <v>0.345943206744044</v>
      </c>
    </row>
    <row r="56" spans="1:9" x14ac:dyDescent="0.25">
      <c r="A56" s="5">
        <v>1</v>
      </c>
      <c r="B56" s="5">
        <v>0.5</v>
      </c>
      <c r="C56" s="5">
        <v>5</v>
      </c>
      <c r="D56" s="5">
        <v>127189184.813392</v>
      </c>
      <c r="E56" s="5">
        <v>113168372.605593</v>
      </c>
      <c r="F56" s="5">
        <v>0.123893380146625</v>
      </c>
    </row>
    <row r="57" spans="1:9" x14ac:dyDescent="0.25">
      <c r="A57" s="5">
        <v>1</v>
      </c>
      <c r="B57" s="5">
        <v>0.5</v>
      </c>
      <c r="C57" s="5">
        <v>6</v>
      </c>
      <c r="D57" s="5">
        <v>113168372.605593</v>
      </c>
      <c r="E57" s="5">
        <v>113168372.605593</v>
      </c>
      <c r="F57" s="5">
        <v>0</v>
      </c>
    </row>
    <row r="58" spans="1:9" x14ac:dyDescent="0.25">
      <c r="A58" s="5">
        <v>1</v>
      </c>
      <c r="B58" s="5">
        <v>0.5</v>
      </c>
      <c r="C58" s="5">
        <v>7</v>
      </c>
      <c r="D58" s="5">
        <v>115373305.728145</v>
      </c>
      <c r="E58" s="5">
        <v>113168372.605593</v>
      </c>
      <c r="F58" s="5">
        <v>1.9483651410598699E-2</v>
      </c>
    </row>
    <row r="59" spans="1:9" x14ac:dyDescent="0.25">
      <c r="A59" s="5">
        <v>1</v>
      </c>
      <c r="B59" s="5">
        <v>0.5</v>
      </c>
      <c r="C59" s="5">
        <v>8</v>
      </c>
      <c r="D59" s="5">
        <v>117392782.606258</v>
      </c>
      <c r="E59" s="5">
        <v>113168372.605593</v>
      </c>
      <c r="F59" s="5">
        <v>3.7328538914208398E-2</v>
      </c>
    </row>
    <row r="60" spans="1:9" x14ac:dyDescent="0.25">
      <c r="A60" s="5">
        <v>1</v>
      </c>
      <c r="B60" s="5">
        <v>0.5</v>
      </c>
      <c r="C60" s="5">
        <v>9</v>
      </c>
      <c r="D60" s="5">
        <v>119746890.593438</v>
      </c>
      <c r="E60" s="5">
        <v>113168372.605593</v>
      </c>
      <c r="F60" s="5">
        <v>5.8130357770298999E-2</v>
      </c>
    </row>
    <row r="61" spans="1:9" x14ac:dyDescent="0.25">
      <c r="A61" s="5">
        <v>1</v>
      </c>
      <c r="B61" s="5">
        <v>0.5</v>
      </c>
      <c r="C61" s="5">
        <v>10</v>
      </c>
      <c r="D61" s="5">
        <v>122582554.034339</v>
      </c>
      <c r="E61" s="5">
        <v>113168372.605593</v>
      </c>
      <c r="F61" s="5">
        <v>8.3187388949699195E-2</v>
      </c>
    </row>
    <row r="62" spans="1:9" x14ac:dyDescent="0.25">
      <c r="A62" s="5">
        <v>1</v>
      </c>
      <c r="B62" s="5">
        <v>1</v>
      </c>
      <c r="C62" s="5">
        <v>1</v>
      </c>
      <c r="D62" s="5">
        <v>262018163.05018201</v>
      </c>
      <c r="E62" s="5">
        <v>104358399.80983</v>
      </c>
      <c r="F62" s="5">
        <v>1.51075297750495</v>
      </c>
      <c r="H62" s="4"/>
      <c r="I62" s="7"/>
    </row>
    <row r="63" spans="1:9" x14ac:dyDescent="0.25">
      <c r="A63" s="5">
        <v>1</v>
      </c>
      <c r="B63" s="5">
        <v>1</v>
      </c>
      <c r="C63" s="5">
        <v>2</v>
      </c>
      <c r="D63" s="5">
        <v>221900551.912696</v>
      </c>
      <c r="E63" s="5">
        <v>104358399.80983</v>
      </c>
      <c r="F63" s="5">
        <v>1.1263314914473599</v>
      </c>
      <c r="H63" s="4"/>
      <c r="I63" s="7"/>
    </row>
    <row r="64" spans="1:9" x14ac:dyDescent="0.25">
      <c r="A64" s="5">
        <v>1</v>
      </c>
      <c r="B64" s="5">
        <v>1</v>
      </c>
      <c r="C64" s="5">
        <v>3</v>
      </c>
      <c r="D64" s="5">
        <v>177202318.69952601</v>
      </c>
      <c r="E64" s="5">
        <v>104358399.80983</v>
      </c>
      <c r="F64" s="5">
        <v>0.69801682492677497</v>
      </c>
      <c r="H64" s="4"/>
      <c r="I64" s="7"/>
    </row>
    <row r="65" spans="1:9" x14ac:dyDescent="0.25">
      <c r="A65" s="5">
        <v>1</v>
      </c>
      <c r="B65" s="5">
        <v>1</v>
      </c>
      <c r="C65" s="5">
        <v>4</v>
      </c>
      <c r="D65" s="5">
        <v>135181419.962872</v>
      </c>
      <c r="E65" s="5">
        <v>104358399.80983</v>
      </c>
      <c r="F65" s="5">
        <v>0.295357347460391</v>
      </c>
      <c r="H65" s="4"/>
      <c r="I65" s="7"/>
    </row>
    <row r="66" spans="1:9" x14ac:dyDescent="0.25">
      <c r="A66" s="5">
        <v>1</v>
      </c>
      <c r="B66" s="5">
        <v>1</v>
      </c>
      <c r="C66" s="5">
        <v>5</v>
      </c>
      <c r="D66" s="5">
        <v>112395602.740389</v>
      </c>
      <c r="E66" s="5">
        <v>104358399.80983</v>
      </c>
      <c r="F66" s="5">
        <v>7.7015390665294101E-2</v>
      </c>
      <c r="H66" s="4"/>
      <c r="I66" s="7"/>
    </row>
    <row r="67" spans="1:9" x14ac:dyDescent="0.25">
      <c r="A67" s="5">
        <v>1</v>
      </c>
      <c r="B67" s="5">
        <v>1</v>
      </c>
      <c r="C67" s="5">
        <v>6</v>
      </c>
      <c r="D67" s="5">
        <v>104358399.80983</v>
      </c>
      <c r="E67" s="5">
        <v>104358399.80983</v>
      </c>
      <c r="F67" s="5">
        <v>0</v>
      </c>
      <c r="H67" s="4"/>
      <c r="I67" s="7"/>
    </row>
    <row r="68" spans="1:9" x14ac:dyDescent="0.25">
      <c r="A68" s="5">
        <v>1</v>
      </c>
      <c r="B68" s="5">
        <v>1</v>
      </c>
      <c r="C68" s="5">
        <v>7</v>
      </c>
      <c r="D68" s="5">
        <v>105967195.21389499</v>
      </c>
      <c r="E68" s="5">
        <v>104358399.80983</v>
      </c>
      <c r="F68" s="5">
        <v>1.54160604895924E-2</v>
      </c>
      <c r="H68" s="4"/>
      <c r="I68" s="7"/>
    </row>
    <row r="69" spans="1:9" x14ac:dyDescent="0.25">
      <c r="A69" s="5">
        <v>1</v>
      </c>
      <c r="B69" s="5">
        <v>1</v>
      </c>
      <c r="C69" s="5">
        <v>8</v>
      </c>
      <c r="D69" s="5">
        <v>108246804.105967</v>
      </c>
      <c r="E69" s="5">
        <v>104358399.80983</v>
      </c>
      <c r="F69" s="5">
        <v>3.7260098882531401E-2</v>
      </c>
      <c r="H69" s="4"/>
      <c r="I69" s="7"/>
    </row>
    <row r="70" spans="1:9" x14ac:dyDescent="0.25">
      <c r="A70" s="5">
        <v>1</v>
      </c>
      <c r="B70" s="5">
        <v>1</v>
      </c>
      <c r="C70" s="5">
        <v>9</v>
      </c>
      <c r="D70" s="5">
        <v>110538375.826204</v>
      </c>
      <c r="E70" s="5">
        <v>104358399.80983</v>
      </c>
      <c r="F70" s="5">
        <v>5.9218769429545202E-2</v>
      </c>
      <c r="H70" s="4"/>
      <c r="I70" s="7"/>
    </row>
    <row r="71" spans="1:9" x14ac:dyDescent="0.25">
      <c r="A71" s="5">
        <v>1</v>
      </c>
      <c r="B71" s="5">
        <v>1</v>
      </c>
      <c r="C71" s="5">
        <v>10</v>
      </c>
      <c r="D71" s="5">
        <v>113307858.006312</v>
      </c>
      <c r="E71" s="5">
        <v>104358399.80983</v>
      </c>
      <c r="F71" s="5">
        <v>8.5756951168194498E-2</v>
      </c>
      <c r="H71" s="4"/>
      <c r="I71" s="7"/>
    </row>
    <row r="72" spans="1:9" x14ac:dyDescent="0.25">
      <c r="A72" s="5">
        <v>1</v>
      </c>
      <c r="B72" s="5">
        <v>1.5</v>
      </c>
      <c r="C72" s="5">
        <v>1</v>
      </c>
      <c r="D72" s="5">
        <v>230529601.39116901</v>
      </c>
      <c r="E72" s="5">
        <v>94802265.782134295</v>
      </c>
      <c r="F72" s="5">
        <v>1.4316887311633499</v>
      </c>
    </row>
    <row r="73" spans="1:9" x14ac:dyDescent="0.25">
      <c r="A73" s="5">
        <v>1</v>
      </c>
      <c r="B73" s="5">
        <v>1.5</v>
      </c>
      <c r="C73" s="5">
        <v>2</v>
      </c>
      <c r="D73" s="5">
        <v>190411064.490821</v>
      </c>
      <c r="E73" s="5">
        <v>94802265.782134295</v>
      </c>
      <c r="F73" s="5">
        <v>1.00850752795725</v>
      </c>
    </row>
    <row r="74" spans="1:9" x14ac:dyDescent="0.25">
      <c r="A74" s="5">
        <v>1</v>
      </c>
      <c r="B74" s="5">
        <v>1.5</v>
      </c>
      <c r="C74" s="5">
        <v>3</v>
      </c>
      <c r="D74" s="5">
        <v>151414752.48702899</v>
      </c>
      <c r="E74" s="5">
        <v>94802265.782134295</v>
      </c>
      <c r="F74" s="5">
        <v>0.59716385719088405</v>
      </c>
    </row>
    <row r="75" spans="1:9" x14ac:dyDescent="0.25">
      <c r="A75" s="5">
        <v>1</v>
      </c>
      <c r="B75" s="5">
        <v>1.5</v>
      </c>
      <c r="C75" s="5">
        <v>4</v>
      </c>
      <c r="D75" s="5">
        <v>117506734.79964501</v>
      </c>
      <c r="E75" s="5">
        <v>94802265.782134295</v>
      </c>
      <c r="F75" s="5">
        <v>0.23949289429102799</v>
      </c>
    </row>
    <row r="76" spans="1:9" x14ac:dyDescent="0.25">
      <c r="A76" s="5">
        <v>1</v>
      </c>
      <c r="B76" s="5">
        <v>1.5</v>
      </c>
      <c r="C76" s="5">
        <v>5</v>
      </c>
      <c r="D76" s="5">
        <v>97534494.235638902</v>
      </c>
      <c r="E76" s="5">
        <v>94802265.782134295</v>
      </c>
      <c r="F76" s="5">
        <v>2.8820286424203801E-2</v>
      </c>
    </row>
    <row r="77" spans="1:9" x14ac:dyDescent="0.25">
      <c r="A77" s="5">
        <v>1</v>
      </c>
      <c r="B77" s="5">
        <v>1.5</v>
      </c>
      <c r="C77" s="5">
        <v>6</v>
      </c>
      <c r="D77" s="5">
        <v>94802265.782134295</v>
      </c>
      <c r="E77" s="5">
        <v>94802265.782134295</v>
      </c>
      <c r="F77" s="5">
        <v>0</v>
      </c>
    </row>
    <row r="78" spans="1:9" x14ac:dyDescent="0.25">
      <c r="A78" s="5">
        <v>1</v>
      </c>
      <c r="B78" s="5">
        <v>1.5</v>
      </c>
      <c r="C78" s="5">
        <v>7</v>
      </c>
      <c r="D78" s="5">
        <v>96515187.364810094</v>
      </c>
      <c r="E78" s="5">
        <v>94802265.782134295</v>
      </c>
      <c r="F78" s="5">
        <v>1.80683612205251E-2</v>
      </c>
    </row>
    <row r="79" spans="1:9" x14ac:dyDescent="0.25">
      <c r="A79" s="5">
        <v>1</v>
      </c>
      <c r="B79" s="5">
        <v>1.5</v>
      </c>
      <c r="C79" s="5">
        <v>8</v>
      </c>
      <c r="D79" s="5">
        <v>99099539.417932004</v>
      </c>
      <c r="E79" s="5">
        <v>94802265.782134295</v>
      </c>
      <c r="F79" s="5">
        <v>4.5328807284767403E-2</v>
      </c>
    </row>
    <row r="80" spans="1:9" x14ac:dyDescent="0.25">
      <c r="A80" s="5">
        <v>1</v>
      </c>
      <c r="B80" s="5">
        <v>1.5</v>
      </c>
      <c r="C80" s="5">
        <v>9</v>
      </c>
      <c r="D80" s="5">
        <v>101641553.171608</v>
      </c>
      <c r="E80" s="5">
        <v>94802265.782134295</v>
      </c>
      <c r="F80" s="5">
        <v>7.2142657488702897E-2</v>
      </c>
    </row>
    <row r="81" spans="1:6" x14ac:dyDescent="0.25">
      <c r="A81" s="5">
        <v>1</v>
      </c>
      <c r="B81" s="5">
        <v>1.5</v>
      </c>
      <c r="C81" s="5">
        <v>10</v>
      </c>
      <c r="D81" s="5">
        <v>104764473.411322</v>
      </c>
      <c r="E81" s="5">
        <v>94802265.782134295</v>
      </c>
      <c r="F81" s="5">
        <v>0.105084066788889</v>
      </c>
    </row>
    <row r="82" spans="1:6" x14ac:dyDescent="0.25">
      <c r="A82" s="5">
        <v>1</v>
      </c>
      <c r="B82" s="5">
        <v>2</v>
      </c>
      <c r="C82" s="5">
        <v>1</v>
      </c>
      <c r="D82" s="5">
        <v>199039751.39116901</v>
      </c>
      <c r="E82" s="5">
        <v>83274204.149663299</v>
      </c>
      <c r="F82" s="5">
        <v>1.39017296440862</v>
      </c>
    </row>
    <row r="83" spans="1:6" x14ac:dyDescent="0.25">
      <c r="A83" s="5">
        <v>1</v>
      </c>
      <c r="B83" s="5">
        <v>2</v>
      </c>
      <c r="C83" s="5">
        <v>2</v>
      </c>
      <c r="D83" s="5">
        <v>158416373.46989399</v>
      </c>
      <c r="E83" s="5">
        <v>83274204.149663299</v>
      </c>
      <c r="F83" s="5">
        <v>0.90234629183825998</v>
      </c>
    </row>
    <row r="84" spans="1:6" x14ac:dyDescent="0.25">
      <c r="A84" s="5">
        <v>1</v>
      </c>
      <c r="B84" s="5">
        <v>2</v>
      </c>
      <c r="C84" s="5">
        <v>3</v>
      </c>
      <c r="D84" s="5">
        <v>125492428.82393</v>
      </c>
      <c r="E84" s="5">
        <v>83274204.149663299</v>
      </c>
      <c r="F84" s="5">
        <v>0.506978422734497</v>
      </c>
    </row>
    <row r="85" spans="1:6" x14ac:dyDescent="0.25">
      <c r="A85" s="5">
        <v>1</v>
      </c>
      <c r="B85" s="5">
        <v>2</v>
      </c>
      <c r="C85" s="5">
        <v>4</v>
      </c>
      <c r="D85" s="5">
        <v>100333040.44984999</v>
      </c>
      <c r="E85" s="5">
        <v>83274204.149663299</v>
      </c>
      <c r="F85" s="5">
        <v>0.20485138794635899</v>
      </c>
    </row>
    <row r="86" spans="1:6" x14ac:dyDescent="0.25">
      <c r="A86" s="5">
        <v>1</v>
      </c>
      <c r="B86" s="5">
        <v>2</v>
      </c>
      <c r="C86" s="5">
        <v>5</v>
      </c>
      <c r="D86" s="5">
        <v>83274204.149663299</v>
      </c>
      <c r="E86" s="5">
        <v>83274204.149663299</v>
      </c>
      <c r="F86" s="5">
        <v>0</v>
      </c>
    </row>
    <row r="87" spans="1:6" x14ac:dyDescent="0.25">
      <c r="A87" s="5">
        <v>1</v>
      </c>
      <c r="B87" s="5">
        <v>2</v>
      </c>
      <c r="C87" s="5">
        <v>6</v>
      </c>
      <c r="D87" s="5">
        <v>85273422.004277304</v>
      </c>
      <c r="E87" s="5">
        <v>83274204.149663299</v>
      </c>
      <c r="F87" s="5">
        <v>2.4007648887534899E-2</v>
      </c>
    </row>
    <row r="88" spans="1:6" x14ac:dyDescent="0.25">
      <c r="A88" s="5">
        <v>1</v>
      </c>
      <c r="B88" s="5">
        <v>2</v>
      </c>
      <c r="C88" s="5">
        <v>7</v>
      </c>
      <c r="D88" s="5">
        <v>87547406.901167393</v>
      </c>
      <c r="E88" s="5">
        <v>83274204.149663299</v>
      </c>
      <c r="F88" s="5">
        <v>5.1314843475708298E-2</v>
      </c>
    </row>
    <row r="89" spans="1:6" x14ac:dyDescent="0.25">
      <c r="A89" s="5">
        <v>1</v>
      </c>
      <c r="B89" s="5">
        <v>2</v>
      </c>
      <c r="C89" s="5">
        <v>8</v>
      </c>
      <c r="D89" s="5">
        <v>90115386.887953505</v>
      </c>
      <c r="E89" s="5">
        <v>83274204.149663299</v>
      </c>
      <c r="F89" s="5">
        <v>8.2152484171389303E-2</v>
      </c>
    </row>
    <row r="90" spans="1:6" x14ac:dyDescent="0.25">
      <c r="A90" s="5">
        <v>1</v>
      </c>
      <c r="B90" s="5">
        <v>2</v>
      </c>
      <c r="C90" s="5">
        <v>9</v>
      </c>
      <c r="D90" s="5">
        <v>92775958.159380496</v>
      </c>
      <c r="E90" s="5">
        <v>83274204.149663299</v>
      </c>
      <c r="F90" s="5">
        <v>0.114102009220531</v>
      </c>
    </row>
    <row r="91" spans="1:6" x14ac:dyDescent="0.25">
      <c r="A91" s="5">
        <v>1</v>
      </c>
      <c r="B91" s="5">
        <v>2</v>
      </c>
      <c r="C91" s="5">
        <v>10</v>
      </c>
      <c r="D91" s="5">
        <v>95193540.413787901</v>
      </c>
      <c r="E91" s="5">
        <v>83274204.149663299</v>
      </c>
      <c r="F91" s="5">
        <v>0.143133595641489</v>
      </c>
    </row>
    <row r="92" spans="1:6" x14ac:dyDescent="0.25">
      <c r="A92" s="5">
        <v>1</v>
      </c>
      <c r="B92" s="5">
        <v>2.5</v>
      </c>
      <c r="C92" s="5">
        <v>1</v>
      </c>
      <c r="D92" s="5">
        <v>167549901.46929401</v>
      </c>
      <c r="E92" s="5">
        <v>74177647.740454495</v>
      </c>
      <c r="F92" s="5">
        <v>1.25876536359776</v>
      </c>
    </row>
    <row r="93" spans="1:6" x14ac:dyDescent="0.25">
      <c r="A93" s="5">
        <v>1</v>
      </c>
      <c r="B93" s="5">
        <v>2.5</v>
      </c>
      <c r="C93" s="5">
        <v>2</v>
      </c>
      <c r="D93" s="5">
        <v>127011878.77014901</v>
      </c>
      <c r="E93" s="5">
        <v>74177647.740454495</v>
      </c>
      <c r="F93" s="5">
        <v>0.712266196611687</v>
      </c>
    </row>
    <row r="94" spans="1:6" x14ac:dyDescent="0.25">
      <c r="A94" s="5">
        <v>1</v>
      </c>
      <c r="B94" s="5">
        <v>2.5</v>
      </c>
      <c r="C94" s="5">
        <v>3</v>
      </c>
      <c r="D94" s="5">
        <v>102787668.59919</v>
      </c>
      <c r="E94" s="5">
        <v>74177647.740454495</v>
      </c>
      <c r="F94" s="5">
        <v>0.38569598430569202</v>
      </c>
    </row>
    <row r="95" spans="1:6" x14ac:dyDescent="0.25">
      <c r="A95" s="5">
        <v>1</v>
      </c>
      <c r="B95" s="5">
        <v>2.5</v>
      </c>
      <c r="C95" s="5">
        <v>4</v>
      </c>
      <c r="D95" s="5">
        <v>83276341.437743396</v>
      </c>
      <c r="E95" s="5">
        <v>74177647.740454495</v>
      </c>
      <c r="F95" s="5">
        <v>0.122660855047939</v>
      </c>
    </row>
    <row r="96" spans="1:6" x14ac:dyDescent="0.25">
      <c r="A96" s="5">
        <v>1</v>
      </c>
      <c r="B96" s="5">
        <v>2.5</v>
      </c>
      <c r="C96" s="5">
        <v>5</v>
      </c>
      <c r="D96" s="5">
        <v>74177647.740454495</v>
      </c>
      <c r="E96" s="5">
        <v>74177647.740454495</v>
      </c>
      <c r="F96" s="5">
        <v>0</v>
      </c>
    </row>
    <row r="97" spans="1:6" x14ac:dyDescent="0.25">
      <c r="A97" s="5">
        <v>1</v>
      </c>
      <c r="B97" s="5">
        <v>2.5</v>
      </c>
      <c r="C97" s="5">
        <v>6</v>
      </c>
      <c r="D97" s="5">
        <v>75964957.383986697</v>
      </c>
      <c r="E97" s="5">
        <v>74177647.740454495</v>
      </c>
      <c r="F97" s="5">
        <v>2.4094989501230599E-2</v>
      </c>
    </row>
    <row r="98" spans="1:6" x14ac:dyDescent="0.25">
      <c r="A98" s="5">
        <v>1</v>
      </c>
      <c r="B98" s="5">
        <v>2.5</v>
      </c>
      <c r="C98" s="5">
        <v>7</v>
      </c>
      <c r="D98" s="5">
        <v>78366999.091553807</v>
      </c>
      <c r="E98" s="5">
        <v>74177647.740454495</v>
      </c>
      <c r="F98" s="5">
        <v>5.6477274202030997E-2</v>
      </c>
    </row>
    <row r="99" spans="1:6" x14ac:dyDescent="0.25">
      <c r="A99" s="5">
        <v>1</v>
      </c>
      <c r="B99" s="5">
        <v>2.5</v>
      </c>
      <c r="C99" s="5">
        <v>8</v>
      </c>
      <c r="D99" s="5">
        <v>81120534.352206498</v>
      </c>
      <c r="E99" s="5">
        <v>74177647.740454495</v>
      </c>
      <c r="F99" s="5">
        <v>9.3598096235741904E-2</v>
      </c>
    </row>
    <row r="100" spans="1:6" x14ac:dyDescent="0.25">
      <c r="A100" s="5">
        <v>1</v>
      </c>
      <c r="B100" s="5">
        <v>2.5</v>
      </c>
      <c r="C100" s="5">
        <v>9</v>
      </c>
      <c r="D100" s="5">
        <v>83423270.367879495</v>
      </c>
      <c r="E100" s="5">
        <v>74177647.740454495</v>
      </c>
      <c r="F100" s="5">
        <v>0.12464162600269001</v>
      </c>
    </row>
    <row r="101" spans="1:6" x14ac:dyDescent="0.25">
      <c r="A101" s="5">
        <v>1</v>
      </c>
      <c r="B101" s="5">
        <v>2.5</v>
      </c>
      <c r="C101" s="5">
        <v>10</v>
      </c>
      <c r="D101" s="5">
        <v>85977112.963458106</v>
      </c>
      <c r="E101" s="5">
        <v>74177647.740454495</v>
      </c>
      <c r="F101" s="5">
        <v>0.15907036125342799</v>
      </c>
    </row>
    <row r="102" spans="1:6" x14ac:dyDescent="0.25">
      <c r="A102" s="5">
        <v>1.5</v>
      </c>
      <c r="B102" s="5">
        <v>0.5</v>
      </c>
      <c r="C102" s="5">
        <v>1</v>
      </c>
      <c r="D102" s="5">
        <v>430315859.04301</v>
      </c>
      <c r="E102" s="5">
        <v>113291561.11481901</v>
      </c>
      <c r="F102" s="5">
        <v>2.7983046116461701</v>
      </c>
    </row>
    <row r="103" spans="1:6" x14ac:dyDescent="0.25">
      <c r="A103" s="5">
        <v>1.5</v>
      </c>
      <c r="B103" s="5">
        <v>0.5</v>
      </c>
      <c r="C103" s="5">
        <v>2</v>
      </c>
      <c r="D103" s="5">
        <v>359548656.45613301</v>
      </c>
      <c r="E103" s="5">
        <v>113291561.11481901</v>
      </c>
      <c r="F103" s="5">
        <v>2.1736578869430301</v>
      </c>
    </row>
    <row r="104" spans="1:6" x14ac:dyDescent="0.25">
      <c r="A104" s="5">
        <v>1.5</v>
      </c>
      <c r="B104" s="5">
        <v>0.5</v>
      </c>
      <c r="C104" s="5">
        <v>3</v>
      </c>
      <c r="D104" s="5">
        <v>272031671.81648302</v>
      </c>
      <c r="E104" s="5">
        <v>113291561.11481901</v>
      </c>
      <c r="F104" s="5">
        <v>1.40116447456122</v>
      </c>
    </row>
    <row r="105" spans="1:6" x14ac:dyDescent="0.25">
      <c r="A105" s="5">
        <v>1.5</v>
      </c>
      <c r="B105" s="5">
        <v>0.5</v>
      </c>
      <c r="C105" s="5">
        <v>4</v>
      </c>
      <c r="D105" s="5">
        <v>182977538.69686401</v>
      </c>
      <c r="E105" s="5">
        <v>113291561.11481901</v>
      </c>
      <c r="F105" s="5">
        <v>0.61510298645651496</v>
      </c>
    </row>
    <row r="106" spans="1:6" x14ac:dyDescent="0.25">
      <c r="A106" s="5">
        <v>1.5</v>
      </c>
      <c r="B106" s="5">
        <v>0.5</v>
      </c>
      <c r="C106" s="5">
        <v>5</v>
      </c>
      <c r="D106" s="5">
        <v>137765454.61024201</v>
      </c>
      <c r="E106" s="5">
        <v>113291561.11481901</v>
      </c>
      <c r="F106" s="5">
        <v>0.216025741499137</v>
      </c>
    </row>
    <row r="107" spans="1:6" x14ac:dyDescent="0.25">
      <c r="A107" s="5">
        <v>1.5</v>
      </c>
      <c r="B107" s="5">
        <v>0.5</v>
      </c>
      <c r="C107" s="5">
        <v>6</v>
      </c>
      <c r="D107" s="5">
        <v>113291561.11481901</v>
      </c>
      <c r="E107" s="5">
        <v>113291561.11481901</v>
      </c>
      <c r="F107" s="5">
        <v>0</v>
      </c>
    </row>
    <row r="108" spans="1:6" x14ac:dyDescent="0.25">
      <c r="A108" s="5">
        <v>1.5</v>
      </c>
      <c r="B108" s="5">
        <v>0.5</v>
      </c>
      <c r="C108" s="5">
        <v>7</v>
      </c>
      <c r="D108" s="5">
        <v>115242740.89089499</v>
      </c>
      <c r="E108" s="5">
        <v>113291561.11481901</v>
      </c>
      <c r="F108" s="5">
        <v>1.7222640034933599E-2</v>
      </c>
    </row>
    <row r="109" spans="1:6" x14ac:dyDescent="0.25">
      <c r="A109" s="5">
        <v>1.5</v>
      </c>
      <c r="B109" s="5">
        <v>0.5</v>
      </c>
      <c r="C109" s="5">
        <v>8</v>
      </c>
      <c r="D109" s="5">
        <v>117324254.04753</v>
      </c>
      <c r="E109" s="5">
        <v>113291561.11481901</v>
      </c>
      <c r="F109" s="5">
        <v>3.5595704508157897E-2</v>
      </c>
    </row>
    <row r="110" spans="1:6" x14ac:dyDescent="0.25">
      <c r="A110" s="5">
        <v>1.5</v>
      </c>
      <c r="B110" s="5">
        <v>0.5</v>
      </c>
      <c r="C110" s="5">
        <v>9</v>
      </c>
      <c r="D110" s="5">
        <v>119769755.562075</v>
      </c>
      <c r="E110" s="5">
        <v>113291561.11481901</v>
      </c>
      <c r="F110" s="5">
        <v>5.7181615148641902E-2</v>
      </c>
    </row>
    <row r="111" spans="1:6" x14ac:dyDescent="0.25">
      <c r="A111" s="5">
        <v>1.5</v>
      </c>
      <c r="B111" s="5">
        <v>0.5</v>
      </c>
      <c r="C111" s="5">
        <v>10</v>
      </c>
      <c r="D111" s="5">
        <v>122247940.67432199</v>
      </c>
      <c r="E111" s="5">
        <v>113291561.11481901</v>
      </c>
      <c r="F111" s="5">
        <v>7.9056016806283505E-2</v>
      </c>
    </row>
    <row r="112" spans="1:6" x14ac:dyDescent="0.25">
      <c r="A112" s="5">
        <v>1.5</v>
      </c>
      <c r="B112" s="5">
        <v>1</v>
      </c>
      <c r="C112" s="5">
        <v>1</v>
      </c>
      <c r="D112" s="5">
        <v>383082371.573461</v>
      </c>
      <c r="E112" s="5">
        <v>103878750.91168299</v>
      </c>
      <c r="F112" s="5">
        <v>2.6877837691671198</v>
      </c>
    </row>
    <row r="113" spans="1:6" x14ac:dyDescent="0.25">
      <c r="A113" s="5">
        <v>1.5</v>
      </c>
      <c r="B113" s="5">
        <v>1</v>
      </c>
      <c r="C113" s="5">
        <v>2</v>
      </c>
      <c r="D113" s="5">
        <v>312314422.920977</v>
      </c>
      <c r="E113" s="5">
        <v>103878750.91168299</v>
      </c>
      <c r="F113" s="5">
        <v>2.0065284784421702</v>
      </c>
    </row>
    <row r="114" spans="1:6" x14ac:dyDescent="0.25">
      <c r="A114" s="5">
        <v>1.5</v>
      </c>
      <c r="B114" s="5">
        <v>1</v>
      </c>
      <c r="C114" s="5">
        <v>3</v>
      </c>
      <c r="D114" s="5">
        <v>234078448.41226399</v>
      </c>
      <c r="E114" s="5">
        <v>103878750.91168299</v>
      </c>
      <c r="F114" s="5">
        <v>1.25338143131192</v>
      </c>
    </row>
    <row r="115" spans="1:6" x14ac:dyDescent="0.25">
      <c r="A115" s="5">
        <v>1.5</v>
      </c>
      <c r="B115" s="5">
        <v>1</v>
      </c>
      <c r="C115" s="5">
        <v>4</v>
      </c>
      <c r="D115" s="5">
        <v>160123842.38473499</v>
      </c>
      <c r="E115" s="5">
        <v>103878750.91168299</v>
      </c>
      <c r="F115" s="5">
        <v>0.541449439653646</v>
      </c>
    </row>
    <row r="116" spans="1:6" x14ac:dyDescent="0.25">
      <c r="A116" s="5">
        <v>1.5</v>
      </c>
      <c r="B116" s="5">
        <v>1</v>
      </c>
      <c r="C116" s="5">
        <v>5</v>
      </c>
      <c r="D116" s="5">
        <v>119651921.550836</v>
      </c>
      <c r="E116" s="5">
        <v>103878750.91168299</v>
      </c>
      <c r="F116" s="5">
        <v>0.15184212844995601</v>
      </c>
    </row>
    <row r="117" spans="1:6" x14ac:dyDescent="0.25">
      <c r="A117" s="5">
        <v>1.5</v>
      </c>
      <c r="B117" s="5">
        <v>1</v>
      </c>
      <c r="C117" s="5">
        <v>6</v>
      </c>
      <c r="D117" s="5">
        <v>103878750.91168299</v>
      </c>
      <c r="E117" s="5">
        <v>103878750.91168299</v>
      </c>
      <c r="F117" s="5">
        <v>0</v>
      </c>
    </row>
    <row r="118" spans="1:6" x14ac:dyDescent="0.25">
      <c r="A118" s="5">
        <v>1.5</v>
      </c>
      <c r="B118" s="5">
        <v>1</v>
      </c>
      <c r="C118" s="5">
        <v>7</v>
      </c>
      <c r="D118" s="5">
        <v>105827348.357298</v>
      </c>
      <c r="E118" s="5">
        <v>103878750.91168299</v>
      </c>
      <c r="F118" s="5">
        <v>1.87583834856733E-2</v>
      </c>
    </row>
    <row r="119" spans="1:6" x14ac:dyDescent="0.25">
      <c r="A119" s="5">
        <v>1.5</v>
      </c>
      <c r="B119" s="5">
        <v>1</v>
      </c>
      <c r="C119" s="5">
        <v>8</v>
      </c>
      <c r="D119" s="5">
        <v>108056637.04452799</v>
      </c>
      <c r="E119" s="5">
        <v>103878750.91168299</v>
      </c>
      <c r="F119" s="5">
        <v>4.0218871484091E-2</v>
      </c>
    </row>
    <row r="120" spans="1:6" x14ac:dyDescent="0.25">
      <c r="A120" s="5">
        <v>1.5</v>
      </c>
      <c r="B120" s="5">
        <v>1</v>
      </c>
      <c r="C120" s="5">
        <v>9</v>
      </c>
      <c r="D120" s="5">
        <v>110720083.71875501</v>
      </c>
      <c r="E120" s="5">
        <v>103878750.91168299</v>
      </c>
      <c r="F120" s="5">
        <v>6.5858828172549094E-2</v>
      </c>
    </row>
    <row r="121" spans="1:6" x14ac:dyDescent="0.25">
      <c r="A121" s="5">
        <v>1.5</v>
      </c>
      <c r="B121" s="5">
        <v>1</v>
      </c>
      <c r="C121" s="5">
        <v>10</v>
      </c>
      <c r="D121" s="5">
        <v>113489073.234853</v>
      </c>
      <c r="E121" s="5">
        <v>103878750.91168299</v>
      </c>
      <c r="F121" s="5">
        <v>9.2514804412117804E-2</v>
      </c>
    </row>
    <row r="122" spans="1:6" x14ac:dyDescent="0.25">
      <c r="A122" s="5">
        <v>1.5</v>
      </c>
      <c r="B122" s="5">
        <v>1.5</v>
      </c>
      <c r="C122" s="5">
        <v>1</v>
      </c>
      <c r="D122" s="5">
        <v>335847601.43674201</v>
      </c>
      <c r="E122" s="5">
        <v>94409787.355730101</v>
      </c>
      <c r="F122" s="5">
        <v>2.5573388188164201</v>
      </c>
    </row>
    <row r="123" spans="1:6" x14ac:dyDescent="0.25">
      <c r="A123" s="5">
        <v>1.5</v>
      </c>
      <c r="B123" s="5">
        <v>1.5</v>
      </c>
      <c r="C123" s="5">
        <v>2</v>
      </c>
      <c r="D123" s="5">
        <v>265080191.78816399</v>
      </c>
      <c r="E123" s="5">
        <v>94409787.355730101</v>
      </c>
      <c r="F123" s="5">
        <v>1.8077617714502301</v>
      </c>
    </row>
    <row r="124" spans="1:6" x14ac:dyDescent="0.25">
      <c r="A124" s="5">
        <v>1.5</v>
      </c>
      <c r="B124" s="5">
        <v>1.5</v>
      </c>
      <c r="C124" s="5">
        <v>3</v>
      </c>
      <c r="D124" s="5">
        <v>196107144.838157</v>
      </c>
      <c r="E124" s="5">
        <v>94409787.355730101</v>
      </c>
      <c r="F124" s="5">
        <v>1.0771908329719799</v>
      </c>
    </row>
    <row r="125" spans="1:6" x14ac:dyDescent="0.25">
      <c r="A125" s="5">
        <v>1.5</v>
      </c>
      <c r="B125" s="5">
        <v>1.5</v>
      </c>
      <c r="C125" s="5">
        <v>4</v>
      </c>
      <c r="D125" s="5">
        <v>136943820.04899499</v>
      </c>
      <c r="E125" s="5">
        <v>94409787.355730101</v>
      </c>
      <c r="F125" s="5">
        <v>0.45052566989690201</v>
      </c>
    </row>
    <row r="126" spans="1:6" x14ac:dyDescent="0.25">
      <c r="A126" s="5">
        <v>1.5</v>
      </c>
      <c r="B126" s="5">
        <v>1.5</v>
      </c>
      <c r="C126" s="5">
        <v>5</v>
      </c>
      <c r="D126" s="5">
        <v>100902432.693121</v>
      </c>
      <c r="E126" s="5">
        <v>94409787.355730101</v>
      </c>
      <c r="F126" s="5">
        <v>6.8770892502146103E-2</v>
      </c>
    </row>
    <row r="127" spans="1:6" x14ac:dyDescent="0.25">
      <c r="A127" s="5">
        <v>1.5</v>
      </c>
      <c r="B127" s="5">
        <v>1.5</v>
      </c>
      <c r="C127" s="5">
        <v>6</v>
      </c>
      <c r="D127" s="5">
        <v>94409787.355730101</v>
      </c>
      <c r="E127" s="5">
        <v>94409787.355730101</v>
      </c>
      <c r="F127" s="5">
        <v>0</v>
      </c>
    </row>
    <row r="128" spans="1:6" x14ac:dyDescent="0.25">
      <c r="A128" s="5">
        <v>1.5</v>
      </c>
      <c r="B128" s="5">
        <v>1.5</v>
      </c>
      <c r="C128" s="5">
        <v>7</v>
      </c>
      <c r="D128" s="5">
        <v>96489551.162239805</v>
      </c>
      <c r="E128" s="5">
        <v>94409787.355730101</v>
      </c>
      <c r="F128" s="5">
        <v>2.2029112285501098E-2</v>
      </c>
    </row>
    <row r="129" spans="1:6" x14ac:dyDescent="0.25">
      <c r="A129" s="5">
        <v>1.5</v>
      </c>
      <c r="B129" s="5">
        <v>1.5</v>
      </c>
      <c r="C129" s="5">
        <v>8</v>
      </c>
      <c r="D129" s="5">
        <v>99011814.252681896</v>
      </c>
      <c r="E129" s="5">
        <v>94409787.355730101</v>
      </c>
      <c r="F129" s="5">
        <v>4.87452310385115E-2</v>
      </c>
    </row>
    <row r="130" spans="1:6" x14ac:dyDescent="0.25">
      <c r="A130" s="5">
        <v>1.5</v>
      </c>
      <c r="B130" s="5">
        <v>1.5</v>
      </c>
      <c r="C130" s="5">
        <v>9</v>
      </c>
      <c r="D130" s="5">
        <v>101458421.047923</v>
      </c>
      <c r="E130" s="5">
        <v>94409787.355730101</v>
      </c>
      <c r="F130" s="5">
        <v>7.4659989071195504E-2</v>
      </c>
    </row>
    <row r="131" spans="1:6" x14ac:dyDescent="0.25">
      <c r="A131" s="5">
        <v>1.5</v>
      </c>
      <c r="B131" s="5">
        <v>1.5</v>
      </c>
      <c r="C131" s="5">
        <v>10</v>
      </c>
      <c r="D131" s="5">
        <v>104474694.458794</v>
      </c>
      <c r="E131" s="5">
        <v>94409787.355730101</v>
      </c>
      <c r="F131" s="5">
        <v>0.10660872548245399</v>
      </c>
    </row>
    <row r="132" spans="1:6" x14ac:dyDescent="0.25">
      <c r="A132" s="5">
        <v>1.5</v>
      </c>
      <c r="B132" s="5">
        <v>2</v>
      </c>
      <c r="C132" s="5">
        <v>1</v>
      </c>
      <c r="D132" s="5">
        <v>288612826.43674201</v>
      </c>
      <c r="E132" s="5">
        <v>83286992.477741599</v>
      </c>
      <c r="F132" s="5">
        <v>2.4652809262367499</v>
      </c>
    </row>
    <row r="133" spans="1:6" x14ac:dyDescent="0.25">
      <c r="A133" s="5">
        <v>1.5</v>
      </c>
      <c r="B133" s="5">
        <v>2</v>
      </c>
      <c r="C133" s="5">
        <v>2</v>
      </c>
      <c r="D133" s="5">
        <v>216999422.12141401</v>
      </c>
      <c r="E133" s="5">
        <v>83286992.477741599</v>
      </c>
      <c r="F133" s="5">
        <v>1.6054419263537101</v>
      </c>
    </row>
    <row r="134" spans="1:6" x14ac:dyDescent="0.25">
      <c r="A134" s="5">
        <v>1.5</v>
      </c>
      <c r="B134" s="5">
        <v>2</v>
      </c>
      <c r="C134" s="5">
        <v>3</v>
      </c>
      <c r="D134" s="5">
        <v>158457502.65589699</v>
      </c>
      <c r="E134" s="5">
        <v>83286992.477741599</v>
      </c>
      <c r="F134" s="5">
        <v>0.90254802030755399</v>
      </c>
    </row>
    <row r="135" spans="1:6" x14ac:dyDescent="0.25">
      <c r="A135" s="5">
        <v>1.5</v>
      </c>
      <c r="B135" s="5">
        <v>2</v>
      </c>
      <c r="C135" s="5">
        <v>4</v>
      </c>
      <c r="D135" s="5">
        <v>114225045.563421</v>
      </c>
      <c r="E135" s="5">
        <v>83286992.477741599</v>
      </c>
      <c r="F135" s="5">
        <v>0.37146320410053801</v>
      </c>
    </row>
    <row r="136" spans="1:6" x14ac:dyDescent="0.25">
      <c r="A136" s="5">
        <v>1.5</v>
      </c>
      <c r="B136" s="5">
        <v>2</v>
      </c>
      <c r="C136" s="5">
        <v>5</v>
      </c>
      <c r="D136" s="5">
        <v>83286992.477741599</v>
      </c>
      <c r="E136" s="5">
        <v>83286992.477741599</v>
      </c>
      <c r="F136" s="5">
        <v>0</v>
      </c>
    </row>
    <row r="137" spans="1:6" x14ac:dyDescent="0.25">
      <c r="A137" s="5">
        <v>1.5</v>
      </c>
      <c r="B137" s="5">
        <v>2</v>
      </c>
      <c r="C137" s="5">
        <v>6</v>
      </c>
      <c r="D137" s="5">
        <v>85030063.711401507</v>
      </c>
      <c r="E137" s="5">
        <v>83286992.477741599</v>
      </c>
      <c r="F137" s="5">
        <v>2.0928492935145399E-2</v>
      </c>
    </row>
    <row r="138" spans="1:6" x14ac:dyDescent="0.25">
      <c r="A138" s="5">
        <v>1.5</v>
      </c>
      <c r="B138" s="5">
        <v>2</v>
      </c>
      <c r="C138" s="5">
        <v>7</v>
      </c>
      <c r="D138" s="5">
        <v>87523981.981159106</v>
      </c>
      <c r="E138" s="5">
        <v>83286992.477741599</v>
      </c>
      <c r="F138" s="5">
        <v>5.0872163556029401E-2</v>
      </c>
    </row>
    <row r="139" spans="1:6" x14ac:dyDescent="0.25">
      <c r="A139" s="5">
        <v>1.5</v>
      </c>
      <c r="B139" s="5">
        <v>2</v>
      </c>
      <c r="C139" s="5">
        <v>8</v>
      </c>
      <c r="D139" s="5">
        <v>90059587.536630005</v>
      </c>
      <c r="E139" s="5">
        <v>83286992.477741599</v>
      </c>
      <c r="F139" s="5">
        <v>8.1316359942980906E-2</v>
      </c>
    </row>
    <row r="140" spans="1:6" x14ac:dyDescent="0.25">
      <c r="A140" s="5">
        <v>1.5</v>
      </c>
      <c r="B140" s="5">
        <v>2</v>
      </c>
      <c r="C140" s="5">
        <v>9</v>
      </c>
      <c r="D140" s="5">
        <v>92450068.839707002</v>
      </c>
      <c r="E140" s="5">
        <v>83286992.477741599</v>
      </c>
      <c r="F140" s="5">
        <v>0.110018096336162</v>
      </c>
    </row>
    <row r="141" spans="1:6" x14ac:dyDescent="0.25">
      <c r="A141" s="5">
        <v>1.5</v>
      </c>
      <c r="B141" s="5">
        <v>2</v>
      </c>
      <c r="C141" s="5">
        <v>10</v>
      </c>
      <c r="D141" s="5">
        <v>95241023.4266188</v>
      </c>
      <c r="E141" s="5">
        <v>83286992.477741599</v>
      </c>
      <c r="F141" s="5">
        <v>0.143528186013824</v>
      </c>
    </row>
    <row r="142" spans="1:6" x14ac:dyDescent="0.25">
      <c r="A142" s="5">
        <v>1.5</v>
      </c>
      <c r="B142" s="5">
        <v>2.5</v>
      </c>
      <c r="C142" s="5">
        <v>1</v>
      </c>
      <c r="D142" s="5">
        <v>241378051.553929</v>
      </c>
      <c r="E142" s="5">
        <v>74063580.673570499</v>
      </c>
      <c r="F142" s="5">
        <v>2.2590653781348302</v>
      </c>
    </row>
    <row r="143" spans="1:6" x14ac:dyDescent="0.25">
      <c r="A143" s="5">
        <v>1.5</v>
      </c>
      <c r="B143" s="5">
        <v>2.5</v>
      </c>
      <c r="C143" s="5">
        <v>2</v>
      </c>
      <c r="D143" s="5">
        <v>169957288.907655</v>
      </c>
      <c r="E143" s="5">
        <v>74063580.673570499</v>
      </c>
      <c r="F143" s="5">
        <v>1.2947484764033901</v>
      </c>
    </row>
    <row r="144" spans="1:6" x14ac:dyDescent="0.25">
      <c r="A144" s="5">
        <v>1.5</v>
      </c>
      <c r="B144" s="5">
        <v>2.5</v>
      </c>
      <c r="C144" s="5">
        <v>3</v>
      </c>
      <c r="D144" s="5">
        <v>126141089.455971</v>
      </c>
      <c r="E144" s="5">
        <v>74063580.673570499</v>
      </c>
      <c r="F144" s="5">
        <v>0.70314597685910096</v>
      </c>
    </row>
    <row r="145" spans="1:6" x14ac:dyDescent="0.25">
      <c r="A145" s="5">
        <v>1.5</v>
      </c>
      <c r="B145" s="5">
        <v>2.5</v>
      </c>
      <c r="C145" s="5">
        <v>4</v>
      </c>
      <c r="D145" s="5">
        <v>91201592.694263905</v>
      </c>
      <c r="E145" s="5">
        <v>74063580.673570499</v>
      </c>
      <c r="F145" s="5">
        <v>0.23139594203833999</v>
      </c>
    </row>
    <row r="146" spans="1:6" x14ac:dyDescent="0.25">
      <c r="A146" s="5">
        <v>1.5</v>
      </c>
      <c r="B146" s="5">
        <v>2.5</v>
      </c>
      <c r="C146" s="5">
        <v>5</v>
      </c>
      <c r="D146" s="5">
        <v>74063580.673570499</v>
      </c>
      <c r="E146" s="5">
        <v>74063580.673570499</v>
      </c>
      <c r="F146" s="5">
        <v>0</v>
      </c>
    </row>
    <row r="147" spans="1:6" x14ac:dyDescent="0.25">
      <c r="A147" s="5">
        <v>1.5</v>
      </c>
      <c r="B147" s="5">
        <v>2.5</v>
      </c>
      <c r="C147" s="5">
        <v>6</v>
      </c>
      <c r="D147" s="5">
        <v>75966037.337881193</v>
      </c>
      <c r="E147" s="5">
        <v>74063580.673570499</v>
      </c>
      <c r="F147" s="5">
        <v>2.56868037841116E-2</v>
      </c>
    </row>
    <row r="148" spans="1:6" x14ac:dyDescent="0.25">
      <c r="A148" s="5">
        <v>1.5</v>
      </c>
      <c r="B148" s="5">
        <v>2.5</v>
      </c>
      <c r="C148" s="5">
        <v>7</v>
      </c>
      <c r="D148" s="5">
        <v>78705058.486182004</v>
      </c>
      <c r="E148" s="5">
        <v>74063580.673570499</v>
      </c>
      <c r="F148" s="5">
        <v>6.2668828193285397E-2</v>
      </c>
    </row>
    <row r="149" spans="1:6" x14ac:dyDescent="0.25">
      <c r="A149" s="5">
        <v>1.5</v>
      </c>
      <c r="B149" s="5">
        <v>2.5</v>
      </c>
      <c r="C149" s="5">
        <v>8</v>
      </c>
      <c r="D149" s="5">
        <v>80851362.468348503</v>
      </c>
      <c r="E149" s="5">
        <v>74063580.673570499</v>
      </c>
      <c r="F149" s="5">
        <v>9.1648037173555602E-2</v>
      </c>
    </row>
    <row r="150" spans="1:6" x14ac:dyDescent="0.25">
      <c r="A150" s="5">
        <v>1.5</v>
      </c>
      <c r="B150" s="5">
        <v>2.5</v>
      </c>
      <c r="C150" s="5">
        <v>9</v>
      </c>
      <c r="D150" s="5">
        <v>83539117.321166605</v>
      </c>
      <c r="E150" s="5">
        <v>74063580.673570499</v>
      </c>
      <c r="F150" s="5">
        <v>0.12793786853701899</v>
      </c>
    </row>
    <row r="151" spans="1:6" x14ac:dyDescent="0.25">
      <c r="A151" s="5">
        <v>1.5</v>
      </c>
      <c r="B151" s="5">
        <v>2.5</v>
      </c>
      <c r="C151" s="5">
        <v>10</v>
      </c>
      <c r="D151" s="5">
        <v>86168862.886096701</v>
      </c>
      <c r="E151" s="5">
        <v>74063580.673570499</v>
      </c>
      <c r="F151" s="5">
        <v>0.16344446356002301</v>
      </c>
    </row>
    <row r="152" spans="1:6" x14ac:dyDescent="0.25">
      <c r="A152" s="5">
        <v>2</v>
      </c>
      <c r="B152" s="5">
        <v>0.5</v>
      </c>
      <c r="C152" s="5">
        <v>1</v>
      </c>
      <c r="D152" s="5">
        <v>567124991.75575197</v>
      </c>
      <c r="E152" s="5">
        <v>113022123.17422201</v>
      </c>
      <c r="F152" s="5">
        <v>4.0178228459001497</v>
      </c>
    </row>
    <row r="153" spans="1:6" x14ac:dyDescent="0.25">
      <c r="A153" s="5">
        <v>2</v>
      </c>
      <c r="B153" s="5">
        <v>0.5</v>
      </c>
      <c r="C153" s="5">
        <v>2</v>
      </c>
      <c r="D153" s="5">
        <v>465605072.687361</v>
      </c>
      <c r="E153" s="5">
        <v>113022123.17422201</v>
      </c>
      <c r="F153" s="5">
        <v>3.1195923383038702</v>
      </c>
    </row>
    <row r="154" spans="1:6" x14ac:dyDescent="0.25">
      <c r="A154" s="5">
        <v>2</v>
      </c>
      <c r="B154" s="5">
        <v>0.5</v>
      </c>
      <c r="C154" s="5">
        <v>3</v>
      </c>
      <c r="D154" s="5">
        <v>340831448.94986498</v>
      </c>
      <c r="E154" s="5">
        <v>113022123.17422201</v>
      </c>
      <c r="F154" s="5">
        <v>2.0156171143987298</v>
      </c>
    </row>
    <row r="155" spans="1:6" x14ac:dyDescent="0.25">
      <c r="A155" s="5">
        <v>2</v>
      </c>
      <c r="B155" s="5">
        <v>0.5</v>
      </c>
      <c r="C155" s="5">
        <v>4</v>
      </c>
      <c r="D155" s="5">
        <v>213393083.107629</v>
      </c>
      <c r="E155" s="5">
        <v>113022123.17422201</v>
      </c>
      <c r="F155" s="5">
        <v>0.88806471790205499</v>
      </c>
    </row>
    <row r="156" spans="1:6" x14ac:dyDescent="0.25">
      <c r="A156" s="5">
        <v>2</v>
      </c>
      <c r="B156" s="5">
        <v>0.5</v>
      </c>
      <c r="C156" s="5">
        <v>5</v>
      </c>
      <c r="D156" s="5">
        <v>148623808.388313</v>
      </c>
      <c r="E156" s="5">
        <v>113022123.17422201</v>
      </c>
      <c r="F156" s="5">
        <v>0.31499749088248102</v>
      </c>
    </row>
    <row r="157" spans="1:6" x14ac:dyDescent="0.25">
      <c r="A157" s="5">
        <v>2</v>
      </c>
      <c r="B157" s="5">
        <v>0.5</v>
      </c>
      <c r="C157" s="5">
        <v>6</v>
      </c>
      <c r="D157" s="5">
        <v>113022123.17422201</v>
      </c>
      <c r="E157" s="5">
        <v>113022123.17422201</v>
      </c>
      <c r="F157" s="5">
        <v>0</v>
      </c>
    </row>
    <row r="158" spans="1:6" x14ac:dyDescent="0.25">
      <c r="A158" s="5">
        <v>2</v>
      </c>
      <c r="B158" s="5">
        <v>0.5</v>
      </c>
      <c r="C158" s="5">
        <v>7</v>
      </c>
      <c r="D158" s="5">
        <v>115375366.144896</v>
      </c>
      <c r="E158" s="5">
        <v>113022123.17422201</v>
      </c>
      <c r="F158" s="5">
        <v>2.08210826746443E-2</v>
      </c>
    </row>
    <row r="159" spans="1:6" x14ac:dyDescent="0.25">
      <c r="A159" s="5">
        <v>2</v>
      </c>
      <c r="B159" s="5">
        <v>0.5</v>
      </c>
      <c r="C159" s="5">
        <v>8</v>
      </c>
      <c r="D159" s="5">
        <v>117278792.231932</v>
      </c>
      <c r="E159" s="5">
        <v>113022123.17422201</v>
      </c>
      <c r="F159" s="5">
        <v>3.76622641493701E-2</v>
      </c>
    </row>
    <row r="160" spans="1:6" x14ac:dyDescent="0.25">
      <c r="A160" s="5">
        <v>2</v>
      </c>
      <c r="B160" s="5">
        <v>0.5</v>
      </c>
      <c r="C160" s="5">
        <v>9</v>
      </c>
      <c r="D160" s="5">
        <v>119750644.699874</v>
      </c>
      <c r="E160" s="5">
        <v>113022123.17422201</v>
      </c>
      <c r="F160" s="5">
        <v>5.9532782933834898E-2</v>
      </c>
    </row>
    <row r="161" spans="1:6" x14ac:dyDescent="0.25">
      <c r="A161" s="5">
        <v>2</v>
      </c>
      <c r="B161" s="5">
        <v>0.5</v>
      </c>
      <c r="C161" s="5">
        <v>10</v>
      </c>
      <c r="D161" s="5">
        <v>122332192.691176</v>
      </c>
      <c r="E161" s="5">
        <v>113022123.17422201</v>
      </c>
      <c r="F161" s="5">
        <v>8.2373868544327003E-2</v>
      </c>
    </row>
    <row r="162" spans="1:6" x14ac:dyDescent="0.25">
      <c r="A162" s="5">
        <v>2</v>
      </c>
      <c r="B162" s="5">
        <v>1</v>
      </c>
      <c r="C162" s="5">
        <v>1</v>
      </c>
      <c r="D162" s="5">
        <v>504145294.99794</v>
      </c>
      <c r="E162" s="5">
        <v>103901345.38719501</v>
      </c>
      <c r="F162" s="5">
        <v>3.8521536763476001</v>
      </c>
    </row>
    <row r="163" spans="1:6" x14ac:dyDescent="0.25">
      <c r="A163" s="5">
        <v>2</v>
      </c>
      <c r="B163" s="5">
        <v>1</v>
      </c>
      <c r="C163" s="5">
        <v>2</v>
      </c>
      <c r="D163" s="5">
        <v>402728293.92925698</v>
      </c>
      <c r="E163" s="5">
        <v>103901345.38719501</v>
      </c>
      <c r="F163" s="5">
        <v>2.8760642841386201</v>
      </c>
    </row>
    <row r="164" spans="1:6" x14ac:dyDescent="0.25">
      <c r="A164" s="5">
        <v>2</v>
      </c>
      <c r="B164" s="5">
        <v>1</v>
      </c>
      <c r="C164" s="5">
        <v>3</v>
      </c>
      <c r="D164" s="5">
        <v>290888726.08031303</v>
      </c>
      <c r="E164" s="5">
        <v>103901345.38719501</v>
      </c>
      <c r="F164" s="5">
        <v>1.7996627473522899</v>
      </c>
    </row>
    <row r="165" spans="1:6" x14ac:dyDescent="0.25">
      <c r="A165" s="5">
        <v>2</v>
      </c>
      <c r="B165" s="5">
        <v>1</v>
      </c>
      <c r="C165" s="5">
        <v>4</v>
      </c>
      <c r="D165" s="5">
        <v>184980229.554708</v>
      </c>
      <c r="E165" s="5">
        <v>103901345.38719501</v>
      </c>
      <c r="F165" s="5">
        <v>0.78034489221835501</v>
      </c>
    </row>
    <row r="166" spans="1:6" x14ac:dyDescent="0.25">
      <c r="A166" s="5">
        <v>2</v>
      </c>
      <c r="B166" s="5">
        <v>1</v>
      </c>
      <c r="C166" s="5">
        <v>5</v>
      </c>
      <c r="D166" s="5">
        <v>126818713.802673</v>
      </c>
      <c r="E166" s="5">
        <v>103901345.38719501</v>
      </c>
      <c r="F166" s="5">
        <v>0.220568543458939</v>
      </c>
    </row>
    <row r="167" spans="1:6" x14ac:dyDescent="0.25">
      <c r="A167" s="5">
        <v>2</v>
      </c>
      <c r="B167" s="5">
        <v>1</v>
      </c>
      <c r="C167" s="5">
        <v>6</v>
      </c>
      <c r="D167" s="5">
        <v>103901345.38719501</v>
      </c>
      <c r="E167" s="5">
        <v>103901345.38719501</v>
      </c>
      <c r="F167" s="5">
        <v>0</v>
      </c>
    </row>
    <row r="168" spans="1:6" x14ac:dyDescent="0.25">
      <c r="A168" s="5">
        <v>2</v>
      </c>
      <c r="B168" s="5">
        <v>1</v>
      </c>
      <c r="C168" s="5">
        <v>7</v>
      </c>
      <c r="D168" s="5">
        <v>105840249.74235</v>
      </c>
      <c r="E168" s="5">
        <v>103901345.38719501</v>
      </c>
      <c r="F168" s="5">
        <v>1.8661012982356999E-2</v>
      </c>
    </row>
    <row r="169" spans="1:6" x14ac:dyDescent="0.25">
      <c r="A169" s="5">
        <v>2</v>
      </c>
      <c r="B169" s="5">
        <v>1</v>
      </c>
      <c r="C169" s="5">
        <v>8</v>
      </c>
      <c r="D169" s="5">
        <v>108265413.172416</v>
      </c>
      <c r="E169" s="5">
        <v>103901345.38719501</v>
      </c>
      <c r="F169" s="5">
        <v>4.2002033457390099E-2</v>
      </c>
    </row>
    <row r="170" spans="1:6" x14ac:dyDescent="0.25">
      <c r="A170" s="5">
        <v>2</v>
      </c>
      <c r="B170" s="5">
        <v>1</v>
      </c>
      <c r="C170" s="5">
        <v>9</v>
      </c>
      <c r="D170" s="5">
        <v>110503099.554254</v>
      </c>
      <c r="E170" s="5">
        <v>103901345.38719501</v>
      </c>
      <c r="F170" s="5">
        <v>6.3538678372803997E-2</v>
      </c>
    </row>
    <row r="171" spans="1:6" x14ac:dyDescent="0.25">
      <c r="A171" s="5">
        <v>2</v>
      </c>
      <c r="B171" s="5">
        <v>1</v>
      </c>
      <c r="C171" s="5">
        <v>10</v>
      </c>
      <c r="D171" s="5">
        <v>113331935.544302</v>
      </c>
      <c r="E171" s="5">
        <v>103901345.38719501</v>
      </c>
      <c r="F171" s="5">
        <v>9.0764851234247296E-2</v>
      </c>
    </row>
    <row r="172" spans="1:6" x14ac:dyDescent="0.25">
      <c r="A172" s="5">
        <v>2</v>
      </c>
      <c r="B172" s="5">
        <v>1.5</v>
      </c>
      <c r="C172" s="5">
        <v>1</v>
      </c>
      <c r="D172" s="5">
        <v>441165601.482315</v>
      </c>
      <c r="E172" s="5">
        <v>94507802.129256099</v>
      </c>
      <c r="F172" s="5">
        <v>3.66803366010928</v>
      </c>
    </row>
    <row r="173" spans="1:6" x14ac:dyDescent="0.25">
      <c r="A173" s="5">
        <v>2</v>
      </c>
      <c r="B173" s="5">
        <v>1.5</v>
      </c>
      <c r="C173" s="5">
        <v>2</v>
      </c>
      <c r="D173" s="5">
        <v>339801969.35098302</v>
      </c>
      <c r="E173" s="5">
        <v>94507802.129256099</v>
      </c>
      <c r="F173" s="5">
        <v>2.5954911837463301</v>
      </c>
    </row>
    <row r="174" spans="1:6" x14ac:dyDescent="0.25">
      <c r="A174" s="5">
        <v>2</v>
      </c>
      <c r="B174" s="5">
        <v>1.5</v>
      </c>
      <c r="C174" s="5">
        <v>3</v>
      </c>
      <c r="D174" s="5">
        <v>240954691.08843499</v>
      </c>
      <c r="E174" s="5">
        <v>94507802.129256099</v>
      </c>
      <c r="F174" s="5">
        <v>1.5495745923589199</v>
      </c>
    </row>
    <row r="175" spans="1:6" x14ac:dyDescent="0.25">
      <c r="A175" s="5">
        <v>2</v>
      </c>
      <c r="B175" s="5">
        <v>1.5</v>
      </c>
      <c r="C175" s="5">
        <v>4</v>
      </c>
      <c r="D175" s="5">
        <v>156620566.18771899</v>
      </c>
      <c r="E175" s="5">
        <v>94507802.129256099</v>
      </c>
      <c r="F175" s="5">
        <v>0.65722366470349602</v>
      </c>
    </row>
    <row r="176" spans="1:6" x14ac:dyDescent="0.25">
      <c r="A176" s="5">
        <v>2</v>
      </c>
      <c r="B176" s="5">
        <v>1.5</v>
      </c>
      <c r="C176" s="5">
        <v>5</v>
      </c>
      <c r="D176" s="5">
        <v>104690609.31753901</v>
      </c>
      <c r="E176" s="5">
        <v>94507802.129256099</v>
      </c>
      <c r="F176" s="5">
        <v>0.10774567769924701</v>
      </c>
    </row>
    <row r="177" spans="1:6" x14ac:dyDescent="0.25">
      <c r="A177" s="5">
        <v>2</v>
      </c>
      <c r="B177" s="5">
        <v>1.5</v>
      </c>
      <c r="C177" s="5">
        <v>6</v>
      </c>
      <c r="D177" s="5">
        <v>94507802.129256099</v>
      </c>
      <c r="E177" s="5">
        <v>94507802.129256099</v>
      </c>
      <c r="F177" s="5">
        <v>0</v>
      </c>
    </row>
    <row r="178" spans="1:6" x14ac:dyDescent="0.25">
      <c r="A178" s="5">
        <v>2</v>
      </c>
      <c r="B178" s="5">
        <v>1.5</v>
      </c>
      <c r="C178" s="5">
        <v>7</v>
      </c>
      <c r="D178" s="5">
        <v>96615306.810084805</v>
      </c>
      <c r="E178" s="5">
        <v>94507802.129256099</v>
      </c>
      <c r="F178" s="5">
        <v>2.22997957136527E-2</v>
      </c>
    </row>
    <row r="179" spans="1:6" x14ac:dyDescent="0.25">
      <c r="A179" s="5">
        <v>2</v>
      </c>
      <c r="B179" s="5">
        <v>1.5</v>
      </c>
      <c r="C179" s="5">
        <v>8</v>
      </c>
      <c r="D179" s="5">
        <v>99066327.783167005</v>
      </c>
      <c r="E179" s="5">
        <v>94507802.129256099</v>
      </c>
      <c r="F179" s="5">
        <v>4.8234384370470201E-2</v>
      </c>
    </row>
    <row r="180" spans="1:6" x14ac:dyDescent="0.25">
      <c r="A180" s="5">
        <v>2</v>
      </c>
      <c r="B180" s="5">
        <v>1.5</v>
      </c>
      <c r="C180" s="5">
        <v>9</v>
      </c>
      <c r="D180" s="5">
        <v>101612494.296317</v>
      </c>
      <c r="E180" s="5">
        <v>94507802.129256099</v>
      </c>
      <c r="F180" s="5">
        <v>7.5175721019772601E-2</v>
      </c>
    </row>
    <row r="181" spans="1:6" x14ac:dyDescent="0.25">
      <c r="A181" s="5">
        <v>2</v>
      </c>
      <c r="B181" s="5">
        <v>1.5</v>
      </c>
      <c r="C181" s="5">
        <v>10</v>
      </c>
      <c r="D181" s="5">
        <v>104330783.552314</v>
      </c>
      <c r="E181" s="5">
        <v>94507802.129256099</v>
      </c>
      <c r="F181" s="5">
        <v>0.1039383119885</v>
      </c>
    </row>
    <row r="182" spans="1:6" x14ac:dyDescent="0.25">
      <c r="A182" s="5">
        <v>2</v>
      </c>
      <c r="B182" s="5">
        <v>2</v>
      </c>
      <c r="C182" s="5">
        <v>1</v>
      </c>
      <c r="D182" s="5">
        <v>378185901.482315</v>
      </c>
      <c r="E182" s="5">
        <v>83407031.432915106</v>
      </c>
      <c r="F182" s="5">
        <v>3.53422085626549</v>
      </c>
    </row>
    <row r="183" spans="1:6" x14ac:dyDescent="0.25">
      <c r="A183" s="5">
        <v>2</v>
      </c>
      <c r="B183" s="5">
        <v>2</v>
      </c>
      <c r="C183" s="5">
        <v>2</v>
      </c>
      <c r="D183" s="5">
        <v>275857018.41237199</v>
      </c>
      <c r="E183" s="5">
        <v>83407031.432915106</v>
      </c>
      <c r="F183" s="5">
        <v>2.3073592678363699</v>
      </c>
    </row>
    <row r="184" spans="1:6" x14ac:dyDescent="0.25">
      <c r="A184" s="5">
        <v>2</v>
      </c>
      <c r="B184" s="5">
        <v>2</v>
      </c>
      <c r="C184" s="5">
        <v>3</v>
      </c>
      <c r="D184" s="5">
        <v>191441242.00330701</v>
      </c>
      <c r="E184" s="5">
        <v>83407031.432915106</v>
      </c>
      <c r="F184" s="5">
        <v>1.2952650239960299</v>
      </c>
    </row>
    <row r="185" spans="1:6" x14ac:dyDescent="0.25">
      <c r="A185" s="5">
        <v>2</v>
      </c>
      <c r="B185" s="5">
        <v>2</v>
      </c>
      <c r="C185" s="5">
        <v>4</v>
      </c>
      <c r="D185" s="5">
        <v>127916116.567727</v>
      </c>
      <c r="E185" s="5">
        <v>83407031.432915106</v>
      </c>
      <c r="F185" s="5">
        <v>0.53363708514923602</v>
      </c>
    </row>
    <row r="186" spans="1:6" x14ac:dyDescent="0.25">
      <c r="A186" s="5">
        <v>2</v>
      </c>
      <c r="B186" s="5">
        <v>2</v>
      </c>
      <c r="C186" s="5">
        <v>5</v>
      </c>
      <c r="D186" s="5">
        <v>83407031.432915106</v>
      </c>
      <c r="E186" s="5">
        <v>83407031.432915106</v>
      </c>
      <c r="F186" s="5">
        <v>0</v>
      </c>
    </row>
    <row r="187" spans="1:6" x14ac:dyDescent="0.25">
      <c r="A187" s="5">
        <v>2</v>
      </c>
      <c r="B187" s="5">
        <v>2</v>
      </c>
      <c r="C187" s="5">
        <v>6</v>
      </c>
      <c r="D187" s="5">
        <v>85031200.747620299</v>
      </c>
      <c r="E187" s="5">
        <v>83407031.432915106</v>
      </c>
      <c r="F187" s="5">
        <v>1.9472810466963902E-2</v>
      </c>
    </row>
    <row r="188" spans="1:6" x14ac:dyDescent="0.25">
      <c r="A188" s="5">
        <v>2</v>
      </c>
      <c r="B188" s="5">
        <v>2</v>
      </c>
      <c r="C188" s="5">
        <v>7</v>
      </c>
      <c r="D188" s="5">
        <v>87581949.4351971</v>
      </c>
      <c r="E188" s="5">
        <v>83407031.432915106</v>
      </c>
      <c r="F188" s="5">
        <v>5.0054748749089703E-2</v>
      </c>
    </row>
    <row r="189" spans="1:6" x14ac:dyDescent="0.25">
      <c r="A189" s="5">
        <v>2</v>
      </c>
      <c r="B189" s="5">
        <v>2</v>
      </c>
      <c r="C189" s="5">
        <v>8</v>
      </c>
      <c r="D189" s="5">
        <v>90024296.843084604</v>
      </c>
      <c r="E189" s="5">
        <v>83407031.432915106</v>
      </c>
      <c r="F189" s="5">
        <v>7.9337021069882802E-2</v>
      </c>
    </row>
    <row r="190" spans="1:6" x14ac:dyDescent="0.25">
      <c r="A190" s="5">
        <v>2</v>
      </c>
      <c r="B190" s="5">
        <v>2</v>
      </c>
      <c r="C190" s="5">
        <v>9</v>
      </c>
      <c r="D190" s="5">
        <v>92636794.095797196</v>
      </c>
      <c r="E190" s="5">
        <v>83407031.432915106</v>
      </c>
      <c r="F190" s="5">
        <v>0.110659287404393</v>
      </c>
    </row>
    <row r="191" spans="1:6" x14ac:dyDescent="0.25">
      <c r="A191" s="5">
        <v>2</v>
      </c>
      <c r="B191" s="5">
        <v>2</v>
      </c>
      <c r="C191" s="5">
        <v>10</v>
      </c>
      <c r="D191" s="5">
        <v>95248804.803433999</v>
      </c>
      <c r="E191" s="5">
        <v>83407031.432915106</v>
      </c>
      <c r="F191" s="5">
        <v>0.14197572035690201</v>
      </c>
    </row>
    <row r="192" spans="1:6" x14ac:dyDescent="0.25">
      <c r="A192" s="5">
        <v>2</v>
      </c>
      <c r="B192" s="5">
        <v>2.5</v>
      </c>
      <c r="C192" s="5">
        <v>1</v>
      </c>
      <c r="D192" s="5">
        <v>315206201.638565</v>
      </c>
      <c r="E192" s="5">
        <v>74010171.103838205</v>
      </c>
      <c r="F192" s="5">
        <v>3.2589578829147898</v>
      </c>
    </row>
    <row r="193" spans="1:6" x14ac:dyDescent="0.25">
      <c r="A193" s="5">
        <v>2</v>
      </c>
      <c r="B193" s="5">
        <v>2.5</v>
      </c>
      <c r="C193" s="5">
        <v>2</v>
      </c>
      <c r="D193" s="5">
        <v>212613468.07883999</v>
      </c>
      <c r="E193" s="5">
        <v>74010171.103838205</v>
      </c>
      <c r="F193" s="5">
        <v>1.872760120775</v>
      </c>
    </row>
    <row r="194" spans="1:6" x14ac:dyDescent="0.25">
      <c r="A194" s="5">
        <v>2</v>
      </c>
      <c r="B194" s="5">
        <v>2.5</v>
      </c>
      <c r="C194" s="5">
        <v>3</v>
      </c>
      <c r="D194" s="5">
        <v>149476302.47269601</v>
      </c>
      <c r="E194" s="5">
        <v>74010171.103838205</v>
      </c>
      <c r="F194" s="5">
        <v>1.0196724347924599</v>
      </c>
    </row>
    <row r="195" spans="1:6" x14ac:dyDescent="0.25">
      <c r="A195" s="5">
        <v>2</v>
      </c>
      <c r="B195" s="5">
        <v>2.5</v>
      </c>
      <c r="C195" s="5">
        <v>4</v>
      </c>
      <c r="D195" s="5">
        <v>99585179.096873701</v>
      </c>
      <c r="E195" s="5">
        <v>74010171.103838205</v>
      </c>
      <c r="F195" s="5">
        <v>0.34556071971719898</v>
      </c>
    </row>
    <row r="196" spans="1:6" x14ac:dyDescent="0.25">
      <c r="A196" s="5">
        <v>2</v>
      </c>
      <c r="B196" s="5">
        <v>2.5</v>
      </c>
      <c r="C196" s="5">
        <v>5</v>
      </c>
      <c r="D196" s="5">
        <v>74010171.103838205</v>
      </c>
      <c r="E196" s="5">
        <v>74010171.103838205</v>
      </c>
      <c r="F196" s="5">
        <v>0</v>
      </c>
    </row>
    <row r="197" spans="1:6" x14ac:dyDescent="0.25">
      <c r="A197" s="5">
        <v>2</v>
      </c>
      <c r="B197" s="5">
        <v>2.5</v>
      </c>
      <c r="C197" s="5">
        <v>6</v>
      </c>
      <c r="D197" s="5">
        <v>75962680.538991496</v>
      </c>
      <c r="E197" s="5">
        <v>74010171.103838205</v>
      </c>
      <c r="F197" s="5">
        <v>2.6381636551194802E-2</v>
      </c>
    </row>
    <row r="198" spans="1:6" x14ac:dyDescent="0.25">
      <c r="A198" s="5">
        <v>2</v>
      </c>
      <c r="B198" s="5">
        <v>2.5</v>
      </c>
      <c r="C198" s="5">
        <v>7</v>
      </c>
      <c r="D198" s="5">
        <v>78761233.043159395</v>
      </c>
      <c r="E198" s="5">
        <v>74010171.103838205</v>
      </c>
      <c r="F198" s="5">
        <v>6.4194716326966397E-2</v>
      </c>
    </row>
    <row r="199" spans="1:6" x14ac:dyDescent="0.25">
      <c r="A199" s="5">
        <v>2</v>
      </c>
      <c r="B199" s="5">
        <v>2.5</v>
      </c>
      <c r="C199" s="5">
        <v>8</v>
      </c>
      <c r="D199" s="5">
        <v>80861456.124192104</v>
      </c>
      <c r="E199" s="5">
        <v>74010171.103838205</v>
      </c>
      <c r="F199" s="5">
        <v>9.25722089027642E-2</v>
      </c>
    </row>
    <row r="200" spans="1:6" x14ac:dyDescent="0.25">
      <c r="A200" s="5">
        <v>2</v>
      </c>
      <c r="B200" s="5">
        <v>2.5</v>
      </c>
      <c r="C200" s="5">
        <v>9</v>
      </c>
      <c r="D200" s="5">
        <v>83438455.085906699</v>
      </c>
      <c r="E200" s="5">
        <v>74010171.103838205</v>
      </c>
      <c r="F200" s="5">
        <v>0.127391733344871</v>
      </c>
    </row>
    <row r="201" spans="1:6" x14ac:dyDescent="0.25">
      <c r="A201" s="5">
        <v>2</v>
      </c>
      <c r="B201" s="5">
        <v>2.5</v>
      </c>
      <c r="C201" s="5">
        <v>10</v>
      </c>
      <c r="D201" s="5">
        <v>86193605.738895997</v>
      </c>
      <c r="E201" s="5">
        <v>74010171.103838205</v>
      </c>
      <c r="F201" s="5">
        <v>0.164618382221601</v>
      </c>
    </row>
    <row r="202" spans="1:6" x14ac:dyDescent="0.25">
      <c r="A202" s="5">
        <v>2.5</v>
      </c>
      <c r="B202" s="5">
        <v>0.5</v>
      </c>
      <c r="C202" s="5">
        <v>1</v>
      </c>
      <c r="D202" s="5">
        <v>703932839.36968398</v>
      </c>
      <c r="E202" s="5">
        <v>113022601.807734</v>
      </c>
      <c r="F202" s="5">
        <v>5.2282484043958197</v>
      </c>
    </row>
    <row r="203" spans="1:6" x14ac:dyDescent="0.25">
      <c r="A203" s="5">
        <v>2.5</v>
      </c>
      <c r="B203" s="5">
        <v>0.5</v>
      </c>
      <c r="C203" s="5">
        <v>2</v>
      </c>
      <c r="D203" s="5">
        <v>571745879.721627</v>
      </c>
      <c r="E203" s="5">
        <v>113022601.807734</v>
      </c>
      <c r="F203" s="5">
        <v>4.0586862324602899</v>
      </c>
    </row>
    <row r="204" spans="1:6" x14ac:dyDescent="0.25">
      <c r="A204" s="5">
        <v>2.5</v>
      </c>
      <c r="B204" s="5">
        <v>0.5</v>
      </c>
      <c r="C204" s="5">
        <v>3</v>
      </c>
      <c r="D204" s="5">
        <v>409116281.70561498</v>
      </c>
      <c r="E204" s="5">
        <v>113022601.807734</v>
      </c>
      <c r="F204" s="5">
        <v>2.6197740554723201</v>
      </c>
    </row>
    <row r="205" spans="1:6" x14ac:dyDescent="0.25">
      <c r="A205" s="5">
        <v>2.5</v>
      </c>
      <c r="B205" s="5">
        <v>0.5</v>
      </c>
      <c r="C205" s="5">
        <v>4</v>
      </c>
      <c r="D205" s="5">
        <v>243537204.009388</v>
      </c>
      <c r="E205" s="5">
        <v>113022601.807734</v>
      </c>
      <c r="F205" s="5">
        <v>1.1547655080855099</v>
      </c>
    </row>
    <row r="206" spans="1:6" x14ac:dyDescent="0.25">
      <c r="A206" s="5">
        <v>2.5</v>
      </c>
      <c r="B206" s="5">
        <v>0.5</v>
      </c>
      <c r="C206" s="5">
        <v>5</v>
      </c>
      <c r="D206" s="5">
        <v>159458871.934872</v>
      </c>
      <c r="E206" s="5">
        <v>113022601.807734</v>
      </c>
      <c r="F206" s="5">
        <v>0.41085826537715098</v>
      </c>
    </row>
    <row r="207" spans="1:6" x14ac:dyDescent="0.25">
      <c r="A207" s="5">
        <v>2.5</v>
      </c>
      <c r="B207" s="5">
        <v>0.5</v>
      </c>
      <c r="C207" s="5">
        <v>6</v>
      </c>
      <c r="D207" s="5">
        <v>113022601.807734</v>
      </c>
      <c r="E207" s="5">
        <v>113022601.807734</v>
      </c>
      <c r="F207" s="5">
        <v>0</v>
      </c>
    </row>
    <row r="208" spans="1:6" x14ac:dyDescent="0.25">
      <c r="A208" s="5">
        <v>2.5</v>
      </c>
      <c r="B208" s="5">
        <v>0.5</v>
      </c>
      <c r="C208" s="5">
        <v>7</v>
      </c>
      <c r="D208" s="5">
        <v>115333008.71180899</v>
      </c>
      <c r="E208" s="5">
        <v>113022601.807734</v>
      </c>
      <c r="F208" s="5">
        <v>2.0441990072083801E-2</v>
      </c>
    </row>
    <row r="209" spans="1:6" x14ac:dyDescent="0.25">
      <c r="A209" s="5">
        <v>2.5</v>
      </c>
      <c r="B209" s="5">
        <v>0.5</v>
      </c>
      <c r="C209" s="5">
        <v>8</v>
      </c>
      <c r="D209" s="5">
        <v>117292090.58829699</v>
      </c>
      <c r="E209" s="5">
        <v>113022601.807734</v>
      </c>
      <c r="F209" s="5">
        <v>3.7775530843164699E-2</v>
      </c>
    </row>
    <row r="210" spans="1:6" x14ac:dyDescent="0.25">
      <c r="A210" s="5">
        <v>2.5</v>
      </c>
      <c r="B210" s="5">
        <v>0.5</v>
      </c>
      <c r="C210" s="5">
        <v>9</v>
      </c>
      <c r="D210" s="5">
        <v>119762897.885524</v>
      </c>
      <c r="E210" s="5">
        <v>113022601.807734</v>
      </c>
      <c r="F210" s="5">
        <v>5.9636709560586802E-2</v>
      </c>
    </row>
    <row r="211" spans="1:6" x14ac:dyDescent="0.25">
      <c r="A211" s="5">
        <v>2.5</v>
      </c>
      <c r="B211" s="5">
        <v>0.5</v>
      </c>
      <c r="C211" s="5">
        <v>10</v>
      </c>
      <c r="D211" s="5">
        <v>122394961.795141</v>
      </c>
      <c r="E211" s="5">
        <v>113022601.807734</v>
      </c>
      <c r="F211" s="5">
        <v>8.2924652569498103E-2</v>
      </c>
    </row>
    <row r="212" spans="1:6" x14ac:dyDescent="0.25">
      <c r="A212" s="5">
        <v>2.5</v>
      </c>
      <c r="B212" s="5">
        <v>1</v>
      </c>
      <c r="C212" s="5">
        <v>1</v>
      </c>
      <c r="D212" s="5">
        <v>625208218.42241895</v>
      </c>
      <c r="E212" s="5">
        <v>103891981.05549499</v>
      </c>
      <c r="F212" s="5">
        <v>5.0178679054012498</v>
      </c>
    </row>
    <row r="213" spans="1:6" x14ac:dyDescent="0.25">
      <c r="A213" s="5">
        <v>2.5</v>
      </c>
      <c r="B213" s="5">
        <v>1</v>
      </c>
      <c r="C213" s="5">
        <v>2</v>
      </c>
      <c r="D213" s="5">
        <v>493142164.93753803</v>
      </c>
      <c r="E213" s="5">
        <v>103891981.05549499</v>
      </c>
      <c r="F213" s="5">
        <v>3.74668169696485</v>
      </c>
    </row>
    <row r="214" spans="1:6" x14ac:dyDescent="0.25">
      <c r="A214" s="5">
        <v>2.5</v>
      </c>
      <c r="B214" s="5">
        <v>1</v>
      </c>
      <c r="C214" s="5">
        <v>3</v>
      </c>
      <c r="D214" s="5">
        <v>347479484.67216802</v>
      </c>
      <c r="E214" s="5">
        <v>103891981.05549499</v>
      </c>
      <c r="F214" s="5">
        <v>2.3446227624301201</v>
      </c>
    </row>
    <row r="215" spans="1:6" x14ac:dyDescent="0.25">
      <c r="A215" s="5">
        <v>2.5</v>
      </c>
      <c r="B215" s="5">
        <v>1</v>
      </c>
      <c r="C215" s="5">
        <v>4</v>
      </c>
      <c r="D215" s="5">
        <v>209868200.38451901</v>
      </c>
      <c r="E215" s="5">
        <v>103891981.05549499</v>
      </c>
      <c r="F215" s="5">
        <v>1.0200615894735501</v>
      </c>
    </row>
    <row r="216" spans="1:6" x14ac:dyDescent="0.25">
      <c r="A216" s="5">
        <v>2.5</v>
      </c>
      <c r="B216" s="5">
        <v>1</v>
      </c>
      <c r="C216" s="5">
        <v>5</v>
      </c>
      <c r="D216" s="5">
        <v>134094075.800631</v>
      </c>
      <c r="E216" s="5">
        <v>103891981.05549499</v>
      </c>
      <c r="F216" s="5">
        <v>0.29070669784420899</v>
      </c>
    </row>
    <row r="217" spans="1:6" x14ac:dyDescent="0.25">
      <c r="A217" s="5">
        <v>2.5</v>
      </c>
      <c r="B217" s="5">
        <v>1</v>
      </c>
      <c r="C217" s="5">
        <v>6</v>
      </c>
      <c r="D217" s="5">
        <v>103891981.05549499</v>
      </c>
      <c r="E217" s="5">
        <v>103891981.05549499</v>
      </c>
      <c r="F217" s="5">
        <v>0</v>
      </c>
    </row>
    <row r="218" spans="1:6" x14ac:dyDescent="0.25">
      <c r="A218" s="5">
        <v>2.5</v>
      </c>
      <c r="B218" s="5">
        <v>1</v>
      </c>
      <c r="C218" s="5">
        <v>7</v>
      </c>
      <c r="D218" s="5">
        <v>105867548.753079</v>
      </c>
      <c r="E218" s="5">
        <v>103891981.05549499</v>
      </c>
      <c r="F218" s="5">
        <v>1.9015593672509899E-2</v>
      </c>
    </row>
    <row r="219" spans="1:6" x14ac:dyDescent="0.25">
      <c r="A219" s="5">
        <v>2.5</v>
      </c>
      <c r="B219" s="5">
        <v>1</v>
      </c>
      <c r="C219" s="5">
        <v>8</v>
      </c>
      <c r="D219" s="5">
        <v>108112860.411796</v>
      </c>
      <c r="E219" s="5">
        <v>103891981.05549499</v>
      </c>
      <c r="F219" s="5">
        <v>4.0627576001714398E-2</v>
      </c>
    </row>
    <row r="220" spans="1:6" x14ac:dyDescent="0.25">
      <c r="A220" s="5">
        <v>2.5</v>
      </c>
      <c r="B220" s="5">
        <v>1</v>
      </c>
      <c r="C220" s="5">
        <v>9</v>
      </c>
      <c r="D220" s="5">
        <v>110512035.034411</v>
      </c>
      <c r="E220" s="5">
        <v>103891981.05549499</v>
      </c>
      <c r="F220" s="5">
        <v>6.3720548127577006E-2</v>
      </c>
    </row>
    <row r="221" spans="1:6" x14ac:dyDescent="0.25">
      <c r="A221" s="5">
        <v>2.5</v>
      </c>
      <c r="B221" s="5">
        <v>1</v>
      </c>
      <c r="C221" s="5">
        <v>10</v>
      </c>
      <c r="D221" s="5">
        <v>113365642.431291</v>
      </c>
      <c r="E221" s="5">
        <v>103891981.05549499</v>
      </c>
      <c r="F221" s="5">
        <v>9.1187609279828094E-2</v>
      </c>
    </row>
    <row r="222" spans="1:6" x14ac:dyDescent="0.25">
      <c r="A222" s="5">
        <v>2.5</v>
      </c>
      <c r="B222" s="5">
        <v>1.5</v>
      </c>
      <c r="C222" s="5">
        <v>1</v>
      </c>
      <c r="D222" s="5">
        <v>546483601.52788806</v>
      </c>
      <c r="E222" s="5">
        <v>94405837.966725901</v>
      </c>
      <c r="F222" s="5">
        <v>4.7886632150916402</v>
      </c>
    </row>
    <row r="223" spans="1:6" x14ac:dyDescent="0.25">
      <c r="A223" s="5">
        <v>2.5</v>
      </c>
      <c r="B223" s="5">
        <v>1.5</v>
      </c>
      <c r="C223" s="5">
        <v>2</v>
      </c>
      <c r="D223" s="5">
        <v>412938877.69697702</v>
      </c>
      <c r="E223" s="5">
        <v>94405837.966725901</v>
      </c>
      <c r="F223" s="5">
        <v>3.3740820122005699</v>
      </c>
    </row>
    <row r="224" spans="1:6" x14ac:dyDescent="0.25">
      <c r="A224" s="5">
        <v>2.5</v>
      </c>
      <c r="B224" s="5">
        <v>1.5</v>
      </c>
      <c r="C224" s="5">
        <v>3</v>
      </c>
      <c r="D224" s="5">
        <v>285633671.315193</v>
      </c>
      <c r="E224" s="5">
        <v>94405837.966725901</v>
      </c>
      <c r="F224" s="5">
        <v>2.0255933051075399</v>
      </c>
    </row>
    <row r="225" spans="1:6" x14ac:dyDescent="0.25">
      <c r="A225" s="5">
        <v>2.5</v>
      </c>
      <c r="B225" s="5">
        <v>1.5</v>
      </c>
      <c r="C225" s="5">
        <v>4</v>
      </c>
      <c r="D225" s="5">
        <v>175172924.75109199</v>
      </c>
      <c r="E225" s="5">
        <v>94405837.966725901</v>
      </c>
      <c r="F225" s="5">
        <v>0.85553063797636097</v>
      </c>
    </row>
    <row r="226" spans="1:6" x14ac:dyDescent="0.25">
      <c r="A226" s="5">
        <v>2.5</v>
      </c>
      <c r="B226" s="5">
        <v>1.5</v>
      </c>
      <c r="C226" s="5">
        <v>5</v>
      </c>
      <c r="D226" s="5">
        <v>108052996.900342</v>
      </c>
      <c r="E226" s="5">
        <v>94405837.966725901</v>
      </c>
      <c r="F226" s="5">
        <v>0.14455842167754401</v>
      </c>
    </row>
    <row r="227" spans="1:6" x14ac:dyDescent="0.25">
      <c r="A227" s="5">
        <v>2.5</v>
      </c>
      <c r="B227" s="5">
        <v>1.5</v>
      </c>
      <c r="C227" s="5">
        <v>6</v>
      </c>
      <c r="D227" s="5">
        <v>94405837.966725901</v>
      </c>
      <c r="E227" s="5">
        <v>94405837.966725901</v>
      </c>
      <c r="F227" s="5">
        <v>0</v>
      </c>
    </row>
    <row r="228" spans="1:6" x14ac:dyDescent="0.25">
      <c r="A228" s="5">
        <v>2.5</v>
      </c>
      <c r="B228" s="5">
        <v>1.5</v>
      </c>
      <c r="C228" s="5">
        <v>7</v>
      </c>
      <c r="D228" s="5">
        <v>96666677.639807507</v>
      </c>
      <c r="E228" s="5">
        <v>94405837.966725901</v>
      </c>
      <c r="F228" s="5">
        <v>2.3948091789392001E-2</v>
      </c>
    </row>
    <row r="229" spans="1:6" x14ac:dyDescent="0.25">
      <c r="A229" s="5">
        <v>2.5</v>
      </c>
      <c r="B229" s="5">
        <v>1.5</v>
      </c>
      <c r="C229" s="5">
        <v>8</v>
      </c>
      <c r="D229" s="5">
        <v>99127218.729390204</v>
      </c>
      <c r="E229" s="5">
        <v>94405837.966725901</v>
      </c>
      <c r="F229" s="5">
        <v>5.0011533866458999E-2</v>
      </c>
    </row>
    <row r="230" spans="1:6" x14ac:dyDescent="0.25">
      <c r="A230" s="5">
        <v>2.5</v>
      </c>
      <c r="B230" s="5">
        <v>1.5</v>
      </c>
      <c r="C230" s="5">
        <v>9</v>
      </c>
      <c r="D230" s="5">
        <v>101605610.814759</v>
      </c>
      <c r="E230" s="5">
        <v>94405837.966725901</v>
      </c>
      <c r="F230" s="5">
        <v>7.6264063781424904E-2</v>
      </c>
    </row>
    <row r="231" spans="1:6" x14ac:dyDescent="0.25">
      <c r="A231" s="5">
        <v>2.5</v>
      </c>
      <c r="B231" s="5">
        <v>1.5</v>
      </c>
      <c r="C231" s="5">
        <v>10</v>
      </c>
      <c r="D231" s="5">
        <v>104365704.033279</v>
      </c>
      <c r="E231" s="5">
        <v>94405837.966725901</v>
      </c>
      <c r="F231" s="5">
        <v>0.105500531334336</v>
      </c>
    </row>
    <row r="232" spans="1:6" x14ac:dyDescent="0.25">
      <c r="A232" s="5">
        <v>2.5</v>
      </c>
      <c r="B232" s="5">
        <v>2</v>
      </c>
      <c r="C232" s="5">
        <v>1</v>
      </c>
      <c r="D232" s="5">
        <v>467758976.527888</v>
      </c>
      <c r="E232" s="5">
        <v>83332156.675311103</v>
      </c>
      <c r="F232" s="5">
        <v>4.6131869759524697</v>
      </c>
    </row>
    <row r="233" spans="1:6" x14ac:dyDescent="0.25">
      <c r="A233" s="5">
        <v>2.5</v>
      </c>
      <c r="B233" s="5">
        <v>2</v>
      </c>
      <c r="C233" s="5">
        <v>2</v>
      </c>
      <c r="D233" s="5">
        <v>334165519.42445397</v>
      </c>
      <c r="E233" s="5">
        <v>83332156.675311103</v>
      </c>
      <c r="F233" s="5">
        <v>3.0100428544825699</v>
      </c>
    </row>
    <row r="234" spans="1:6" x14ac:dyDescent="0.25">
      <c r="A234" s="5">
        <v>2.5</v>
      </c>
      <c r="B234" s="5">
        <v>2</v>
      </c>
      <c r="C234" s="5">
        <v>3</v>
      </c>
      <c r="D234" s="5">
        <v>223952132.95061401</v>
      </c>
      <c r="E234" s="5">
        <v>83332156.675311103</v>
      </c>
      <c r="F234" s="5">
        <v>1.68746354211381</v>
      </c>
    </row>
    <row r="235" spans="1:6" x14ac:dyDescent="0.25">
      <c r="A235" s="5">
        <v>2.5</v>
      </c>
      <c r="B235" s="5">
        <v>2</v>
      </c>
      <c r="C235" s="5">
        <v>4</v>
      </c>
      <c r="D235" s="5">
        <v>141299971.30412</v>
      </c>
      <c r="E235" s="5">
        <v>83332156.675311103</v>
      </c>
      <c r="F235" s="5">
        <v>0.69562359767874804</v>
      </c>
    </row>
    <row r="236" spans="1:6" x14ac:dyDescent="0.25">
      <c r="A236" s="5">
        <v>2.5</v>
      </c>
      <c r="B236" s="5">
        <v>2</v>
      </c>
      <c r="C236" s="5">
        <v>5</v>
      </c>
      <c r="D236" s="5">
        <v>83332156.675311103</v>
      </c>
      <c r="E236" s="5">
        <v>83332156.675311103</v>
      </c>
      <c r="F236" s="5">
        <v>0</v>
      </c>
    </row>
    <row r="237" spans="1:6" x14ac:dyDescent="0.25">
      <c r="A237" s="5">
        <v>2.5</v>
      </c>
      <c r="B237" s="5">
        <v>2</v>
      </c>
      <c r="C237" s="5">
        <v>6</v>
      </c>
      <c r="D237" s="5">
        <v>85026172.865319297</v>
      </c>
      <c r="E237" s="5">
        <v>83332156.675311103</v>
      </c>
      <c r="F237" s="5">
        <v>2.0328481316145001E-2</v>
      </c>
    </row>
    <row r="238" spans="1:6" x14ac:dyDescent="0.25">
      <c r="A238" s="5">
        <v>2.5</v>
      </c>
      <c r="B238" s="5">
        <v>2</v>
      </c>
      <c r="C238" s="5">
        <v>7</v>
      </c>
      <c r="D238" s="5">
        <v>87450800.347707704</v>
      </c>
      <c r="E238" s="5">
        <v>83332156.675311103</v>
      </c>
      <c r="F238" s="5">
        <v>4.9424421936469398E-2</v>
      </c>
    </row>
    <row r="239" spans="1:6" x14ac:dyDescent="0.25">
      <c r="A239" s="5">
        <v>2.5</v>
      </c>
      <c r="B239" s="5">
        <v>2</v>
      </c>
      <c r="C239" s="5">
        <v>8</v>
      </c>
      <c r="D239" s="5">
        <v>90004946.681348801</v>
      </c>
      <c r="E239" s="5">
        <v>83332156.675311103</v>
      </c>
      <c r="F239" s="5">
        <v>8.0074610717648501E-2</v>
      </c>
    </row>
    <row r="240" spans="1:6" x14ac:dyDescent="0.25">
      <c r="A240" s="5">
        <v>2.5</v>
      </c>
      <c r="B240" s="5">
        <v>2</v>
      </c>
      <c r="C240" s="5">
        <v>9</v>
      </c>
      <c r="D240" s="5">
        <v>92464976.252465695</v>
      </c>
      <c r="E240" s="5">
        <v>83332156.675311103</v>
      </c>
      <c r="F240" s="5">
        <v>0.109595382401285</v>
      </c>
    </row>
    <row r="241" spans="1:6" x14ac:dyDescent="0.25">
      <c r="A241" s="5">
        <v>2.5</v>
      </c>
      <c r="B241" s="5">
        <v>2</v>
      </c>
      <c r="C241" s="5">
        <v>10</v>
      </c>
      <c r="D241" s="5">
        <v>95167448.409268007</v>
      </c>
      <c r="E241" s="5">
        <v>83332156.675311103</v>
      </c>
      <c r="F241" s="5">
        <v>0.142025506192896</v>
      </c>
    </row>
    <row r="242" spans="1:6" x14ac:dyDescent="0.25">
      <c r="A242" s="5">
        <v>2.5</v>
      </c>
      <c r="B242" s="5">
        <v>2.5</v>
      </c>
      <c r="C242" s="5">
        <v>1</v>
      </c>
      <c r="D242" s="5">
        <v>389034351.72320002</v>
      </c>
      <c r="E242" s="5">
        <v>73985686.618846804</v>
      </c>
      <c r="F242" s="5">
        <v>4.2582380390330696</v>
      </c>
    </row>
    <row r="243" spans="1:6" x14ac:dyDescent="0.25">
      <c r="A243" s="5">
        <v>2.5</v>
      </c>
      <c r="B243" s="5">
        <v>2.5</v>
      </c>
      <c r="C243" s="5">
        <v>2</v>
      </c>
      <c r="D243" s="5">
        <v>255601679.17607</v>
      </c>
      <c r="E243" s="5">
        <v>73985686.618846804</v>
      </c>
      <c r="F243" s="5">
        <v>2.4547449764554798</v>
      </c>
    </row>
    <row r="244" spans="1:6" x14ac:dyDescent="0.25">
      <c r="A244" s="5">
        <v>2.5</v>
      </c>
      <c r="B244" s="5">
        <v>2.5</v>
      </c>
      <c r="C244" s="5">
        <v>3</v>
      </c>
      <c r="D244" s="5">
        <v>172575242.03745899</v>
      </c>
      <c r="E244" s="5">
        <v>73985686.618846804</v>
      </c>
      <c r="F244" s="5">
        <v>1.3325490364983399</v>
      </c>
    </row>
    <row r="245" spans="1:6" x14ac:dyDescent="0.25">
      <c r="A245" s="5">
        <v>2.5</v>
      </c>
      <c r="B245" s="5">
        <v>2.5</v>
      </c>
      <c r="C245" s="5">
        <v>4</v>
      </c>
      <c r="D245" s="5">
        <v>107662651.66663399</v>
      </c>
      <c r="E245" s="5">
        <v>73985686.618846804</v>
      </c>
      <c r="F245" s="5">
        <v>0.45518216545425899</v>
      </c>
    </row>
    <row r="246" spans="1:6" x14ac:dyDescent="0.25">
      <c r="A246" s="5">
        <v>2.5</v>
      </c>
      <c r="B246" s="5">
        <v>2.5</v>
      </c>
      <c r="C246" s="5">
        <v>5</v>
      </c>
      <c r="D246" s="5">
        <v>73985686.618846804</v>
      </c>
      <c r="E246" s="5">
        <v>73985686.618846804</v>
      </c>
      <c r="F246" s="5">
        <v>0</v>
      </c>
    </row>
    <row r="247" spans="1:6" x14ac:dyDescent="0.25">
      <c r="A247" s="5">
        <v>2.5</v>
      </c>
      <c r="B247" s="5">
        <v>2.5</v>
      </c>
      <c r="C247" s="5">
        <v>6</v>
      </c>
      <c r="D247" s="5">
        <v>75891146.457317993</v>
      </c>
      <c r="E247" s="5">
        <v>73985686.618846804</v>
      </c>
      <c r="F247" s="5">
        <v>2.5754438805002399E-2</v>
      </c>
    </row>
    <row r="248" spans="1:6" x14ac:dyDescent="0.25">
      <c r="A248" s="5">
        <v>2.5</v>
      </c>
      <c r="B248" s="5">
        <v>2.5</v>
      </c>
      <c r="C248" s="5">
        <v>7</v>
      </c>
      <c r="D248" s="5">
        <v>78383243.297753796</v>
      </c>
      <c r="E248" s="5">
        <v>73985686.618846804</v>
      </c>
      <c r="F248" s="5">
        <v>5.9437938334775502E-2</v>
      </c>
    </row>
    <row r="249" spans="1:6" x14ac:dyDescent="0.25">
      <c r="A249" s="5">
        <v>2.5</v>
      </c>
      <c r="B249" s="5">
        <v>2.5</v>
      </c>
      <c r="C249" s="5">
        <v>8</v>
      </c>
      <c r="D249" s="5">
        <v>80866650.789867997</v>
      </c>
      <c r="E249" s="5">
        <v>73985686.618846804</v>
      </c>
      <c r="F249" s="5">
        <v>9.3003991521630705E-2</v>
      </c>
    </row>
    <row r="250" spans="1:6" x14ac:dyDescent="0.25">
      <c r="A250" s="5">
        <v>2.5</v>
      </c>
      <c r="B250" s="5">
        <v>2.5</v>
      </c>
      <c r="C250" s="5">
        <v>9</v>
      </c>
      <c r="D250" s="5">
        <v>83437864.312921807</v>
      </c>
      <c r="E250" s="5">
        <v>73985686.618846804</v>
      </c>
      <c r="F250" s="5">
        <v>0.12775684224936601</v>
      </c>
    </row>
    <row r="251" spans="1:6" x14ac:dyDescent="0.25">
      <c r="A251" s="5">
        <v>2.5</v>
      </c>
      <c r="B251" s="5">
        <v>2.5</v>
      </c>
      <c r="C251" s="5">
        <v>10</v>
      </c>
      <c r="D251" s="5">
        <v>86235171.284560904</v>
      </c>
      <c r="E251" s="5">
        <v>73985686.618846804</v>
      </c>
      <c r="F251" s="5">
        <v>0.16556560093603001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C7A4-DA1C-42A0-988C-31E54D41FC7C}">
  <dimension ref="A1:E76"/>
  <sheetViews>
    <sheetView workbookViewId="0">
      <selection activeCell="M24" sqref="M24"/>
    </sheetView>
  </sheetViews>
  <sheetFormatPr defaultRowHeight="14" x14ac:dyDescent="0.25"/>
  <cols>
    <col min="1" max="3" width="8.7265625" style="5"/>
    <col min="4" max="4" width="26.90625" style="5" customWidth="1"/>
    <col min="5" max="5" width="50" style="5" customWidth="1"/>
    <col min="6" max="16384" width="8.7265625" style="5"/>
  </cols>
  <sheetData>
    <row r="1" spans="1:5" x14ac:dyDescent="0.25">
      <c r="A1" s="3" t="s">
        <v>0</v>
      </c>
      <c r="B1" s="3" t="s">
        <v>4</v>
      </c>
      <c r="C1" s="3" t="s">
        <v>14</v>
      </c>
      <c r="D1" s="3" t="s">
        <v>15</v>
      </c>
      <c r="E1" s="3" t="s">
        <v>16</v>
      </c>
    </row>
    <row r="2" spans="1:5" x14ac:dyDescent="0.25">
      <c r="A2" s="5">
        <v>6</v>
      </c>
      <c r="B2" s="5">
        <v>2</v>
      </c>
      <c r="C2" s="5">
        <v>0.5</v>
      </c>
      <c r="D2" s="5">
        <v>0.5</v>
      </c>
      <c r="E2" s="5">
        <v>1.4719675097496301</v>
      </c>
    </row>
    <row r="3" spans="1:5" x14ac:dyDescent="0.25">
      <c r="A3" s="5">
        <v>6</v>
      </c>
      <c r="B3" s="5">
        <v>2</v>
      </c>
      <c r="C3" s="5">
        <v>1</v>
      </c>
      <c r="D3" s="5">
        <v>0.5</v>
      </c>
      <c r="E3" s="5">
        <v>2.5339004093613302</v>
      </c>
    </row>
    <row r="4" spans="1:5" x14ac:dyDescent="0.25">
      <c r="A4" s="5">
        <v>6</v>
      </c>
      <c r="B4" s="5">
        <v>2</v>
      </c>
      <c r="C4" s="5">
        <v>1.5</v>
      </c>
      <c r="D4" s="5">
        <v>0.5</v>
      </c>
      <c r="E4" s="5">
        <v>3.5954865645613299</v>
      </c>
    </row>
    <row r="5" spans="1:5" x14ac:dyDescent="0.25">
      <c r="A5" s="5">
        <v>6</v>
      </c>
      <c r="B5" s="5">
        <v>2</v>
      </c>
      <c r="C5" s="5">
        <v>2</v>
      </c>
      <c r="D5" s="5">
        <v>0.5</v>
      </c>
      <c r="E5" s="5">
        <v>4.6560507268736098</v>
      </c>
    </row>
    <row r="6" spans="1:5" x14ac:dyDescent="0.25">
      <c r="A6" s="5">
        <v>6</v>
      </c>
      <c r="B6" s="5">
        <v>2</v>
      </c>
      <c r="C6" s="5">
        <v>2.5</v>
      </c>
      <c r="D6" s="5">
        <v>0.5</v>
      </c>
      <c r="E6" s="5">
        <v>5.7174587972162696</v>
      </c>
    </row>
    <row r="7" spans="1:5" x14ac:dyDescent="0.25">
      <c r="A7" s="5">
        <v>6</v>
      </c>
      <c r="B7" s="5">
        <v>2</v>
      </c>
      <c r="C7" s="5">
        <v>0.5</v>
      </c>
      <c r="D7" s="5">
        <v>1</v>
      </c>
      <c r="E7" s="5">
        <v>1.3144768901902499</v>
      </c>
    </row>
    <row r="8" spans="1:5" x14ac:dyDescent="0.25">
      <c r="A8" s="5">
        <v>6</v>
      </c>
      <c r="B8" s="5">
        <v>2</v>
      </c>
      <c r="C8" s="5">
        <v>1</v>
      </c>
      <c r="D8" s="5">
        <v>1</v>
      </c>
      <c r="E8" s="5">
        <v>2.2190055191269602</v>
      </c>
    </row>
    <row r="9" spans="1:5" x14ac:dyDescent="0.25">
      <c r="A9" s="5">
        <v>6</v>
      </c>
      <c r="B9" s="5">
        <v>2</v>
      </c>
      <c r="C9" s="5">
        <v>1.5</v>
      </c>
      <c r="D9" s="5">
        <v>1</v>
      </c>
      <c r="E9" s="5">
        <v>3.1231442292097702</v>
      </c>
    </row>
    <row r="10" spans="1:5" x14ac:dyDescent="0.25">
      <c r="A10" s="5">
        <v>6</v>
      </c>
      <c r="B10" s="5">
        <v>2</v>
      </c>
      <c r="C10" s="5">
        <v>2</v>
      </c>
      <c r="D10" s="5">
        <v>1</v>
      </c>
      <c r="E10" s="5">
        <v>4.0272829392925704</v>
      </c>
    </row>
    <row r="11" spans="1:5" x14ac:dyDescent="0.25">
      <c r="A11" s="5">
        <v>6</v>
      </c>
      <c r="B11" s="5">
        <v>2</v>
      </c>
      <c r="C11" s="5">
        <v>2.5</v>
      </c>
      <c r="D11" s="5">
        <v>1</v>
      </c>
      <c r="E11" s="5">
        <v>4.9314216493753804</v>
      </c>
    </row>
    <row r="12" spans="1:5" x14ac:dyDescent="0.25">
      <c r="A12" s="5">
        <v>6</v>
      </c>
      <c r="B12" s="5">
        <v>2</v>
      </c>
      <c r="C12" s="5">
        <v>0.5</v>
      </c>
      <c r="D12" s="5">
        <v>1.5</v>
      </c>
      <c r="E12" s="5">
        <v>1.1574193719347701</v>
      </c>
    </row>
    <row r="13" spans="1:5" x14ac:dyDescent="0.25">
      <c r="A13" s="5">
        <v>6</v>
      </c>
      <c r="B13" s="5">
        <v>2</v>
      </c>
      <c r="C13" s="5">
        <v>1</v>
      </c>
      <c r="D13" s="5">
        <v>1.5</v>
      </c>
      <c r="E13" s="5">
        <v>1.9041106449082099</v>
      </c>
    </row>
    <row r="14" spans="1:5" x14ac:dyDescent="0.25">
      <c r="A14" s="5">
        <v>6</v>
      </c>
      <c r="B14" s="5">
        <v>2</v>
      </c>
      <c r="C14" s="5">
        <v>1.5</v>
      </c>
      <c r="D14" s="5">
        <v>1.5</v>
      </c>
      <c r="E14" s="5">
        <v>2.65080191788164</v>
      </c>
    </row>
    <row r="15" spans="1:5" x14ac:dyDescent="0.25">
      <c r="A15" s="5">
        <v>6</v>
      </c>
      <c r="B15" s="5">
        <v>2</v>
      </c>
      <c r="C15" s="5">
        <v>2</v>
      </c>
      <c r="D15" s="5">
        <v>1.5</v>
      </c>
      <c r="E15" s="5">
        <v>3.3980196935098301</v>
      </c>
    </row>
    <row r="16" spans="1:5" x14ac:dyDescent="0.25">
      <c r="A16" s="5">
        <v>6</v>
      </c>
      <c r="B16" s="5">
        <v>2</v>
      </c>
      <c r="C16" s="5">
        <v>2.5</v>
      </c>
      <c r="D16" s="5">
        <v>1.5</v>
      </c>
      <c r="E16" s="5">
        <v>4.1293887769697699</v>
      </c>
    </row>
    <row r="17" spans="1:5" x14ac:dyDescent="0.25">
      <c r="A17" s="5">
        <v>6</v>
      </c>
      <c r="B17" s="5">
        <v>2</v>
      </c>
      <c r="C17" s="5">
        <v>0.5</v>
      </c>
      <c r="D17" s="5">
        <v>2</v>
      </c>
      <c r="E17" s="5">
        <v>0.99833324818374303</v>
      </c>
    </row>
    <row r="18" spans="1:5" x14ac:dyDescent="0.25">
      <c r="A18" s="5">
        <v>6</v>
      </c>
      <c r="B18" s="5">
        <v>2</v>
      </c>
      <c r="C18" s="5">
        <v>1</v>
      </c>
      <c r="D18" s="5">
        <v>2</v>
      </c>
      <c r="E18" s="5">
        <v>1.5841637346989399</v>
      </c>
    </row>
    <row r="19" spans="1:5" x14ac:dyDescent="0.25">
      <c r="A19" s="5">
        <v>6</v>
      </c>
      <c r="B19" s="5">
        <v>2</v>
      </c>
      <c r="C19" s="5">
        <v>1.5</v>
      </c>
      <c r="D19" s="5">
        <v>2</v>
      </c>
      <c r="E19" s="5">
        <v>2.1699942212141399</v>
      </c>
    </row>
    <row r="20" spans="1:5" x14ac:dyDescent="0.25">
      <c r="A20" s="5">
        <v>6</v>
      </c>
      <c r="B20" s="5">
        <v>2</v>
      </c>
      <c r="C20" s="5">
        <v>2</v>
      </c>
      <c r="D20" s="5">
        <v>2</v>
      </c>
      <c r="E20" s="5">
        <v>2.7585701841237098</v>
      </c>
    </row>
    <row r="21" spans="1:5" x14ac:dyDescent="0.25">
      <c r="A21" s="5">
        <v>6</v>
      </c>
      <c r="B21" s="5">
        <v>2</v>
      </c>
      <c r="C21" s="5">
        <v>2.5</v>
      </c>
      <c r="D21" s="5">
        <v>2</v>
      </c>
      <c r="E21" s="5">
        <v>3.3416551942445398</v>
      </c>
    </row>
    <row r="22" spans="1:5" x14ac:dyDescent="0.25">
      <c r="A22" s="5">
        <v>6</v>
      </c>
      <c r="B22" s="5">
        <v>2</v>
      </c>
      <c r="C22" s="5">
        <v>0.5</v>
      </c>
      <c r="D22" s="5">
        <v>2.5</v>
      </c>
      <c r="E22" s="5">
        <v>0.84169295427856305</v>
      </c>
    </row>
    <row r="23" spans="1:5" x14ac:dyDescent="0.25">
      <c r="A23" s="5">
        <v>6</v>
      </c>
      <c r="B23" s="5">
        <v>2</v>
      </c>
      <c r="C23" s="5">
        <v>1</v>
      </c>
      <c r="D23" s="5">
        <v>2.5</v>
      </c>
      <c r="E23" s="5">
        <v>1.2701187877014899</v>
      </c>
    </row>
    <row r="24" spans="1:5" x14ac:dyDescent="0.25">
      <c r="A24" s="5">
        <v>6</v>
      </c>
      <c r="B24" s="5">
        <v>2</v>
      </c>
      <c r="C24" s="5">
        <v>1.5</v>
      </c>
      <c r="D24" s="5">
        <v>2.5</v>
      </c>
      <c r="E24" s="5">
        <v>1.69957288907655</v>
      </c>
    </row>
    <row r="25" spans="1:5" x14ac:dyDescent="0.25">
      <c r="A25" s="5">
        <v>6</v>
      </c>
      <c r="B25" s="5">
        <v>2</v>
      </c>
      <c r="C25" s="5">
        <v>2</v>
      </c>
      <c r="D25" s="5">
        <v>2.5</v>
      </c>
      <c r="E25" s="5">
        <v>2.1261346807883998</v>
      </c>
    </row>
    <row r="26" spans="1:5" x14ac:dyDescent="0.25">
      <c r="A26" s="5">
        <v>6</v>
      </c>
      <c r="B26" s="5">
        <v>2</v>
      </c>
      <c r="C26" s="5">
        <v>2.5</v>
      </c>
      <c r="D26" s="5">
        <v>2.5</v>
      </c>
      <c r="E26" s="5">
        <v>2.5560167917607002</v>
      </c>
    </row>
    <row r="27" spans="1:5" x14ac:dyDescent="0.25">
      <c r="A27" s="5">
        <v>6</v>
      </c>
      <c r="B27" s="5">
        <v>4</v>
      </c>
      <c r="C27" s="5">
        <v>0.5</v>
      </c>
      <c r="D27" s="5">
        <v>0.5</v>
      </c>
      <c r="E27" s="5">
        <v>1.2213827661419401</v>
      </c>
    </row>
    <row r="28" spans="1:5" x14ac:dyDescent="0.25">
      <c r="A28" s="5">
        <v>6</v>
      </c>
      <c r="B28" s="5">
        <v>4</v>
      </c>
      <c r="C28" s="5">
        <v>1</v>
      </c>
      <c r="D28" s="5">
        <v>0.5</v>
      </c>
      <c r="E28" s="5">
        <v>1.52318202326776</v>
      </c>
    </row>
    <row r="29" spans="1:5" x14ac:dyDescent="0.25">
      <c r="A29" s="5">
        <v>6</v>
      </c>
      <c r="B29" s="5">
        <v>4</v>
      </c>
      <c r="C29" s="5">
        <v>1.5</v>
      </c>
      <c r="D29" s="5">
        <v>0.5</v>
      </c>
      <c r="E29" s="5">
        <v>1.8297753869686399</v>
      </c>
    </row>
    <row r="30" spans="1:5" x14ac:dyDescent="0.25">
      <c r="A30" s="5">
        <v>6</v>
      </c>
      <c r="B30" s="5">
        <v>4</v>
      </c>
      <c r="C30" s="5">
        <v>2</v>
      </c>
      <c r="D30" s="5">
        <v>0.5</v>
      </c>
      <c r="E30" s="5">
        <v>2.1339308310762899</v>
      </c>
    </row>
    <row r="31" spans="1:5" x14ac:dyDescent="0.25">
      <c r="A31" s="5">
        <v>6</v>
      </c>
      <c r="B31" s="5">
        <v>4</v>
      </c>
      <c r="C31" s="5">
        <v>2.5</v>
      </c>
      <c r="D31" s="5">
        <v>0.5</v>
      </c>
      <c r="E31" s="5">
        <v>2.4353720400938799</v>
      </c>
    </row>
    <row r="32" spans="1:5" x14ac:dyDescent="0.25">
      <c r="A32" s="5">
        <v>6</v>
      </c>
      <c r="B32" s="5">
        <v>4</v>
      </c>
      <c r="C32" s="5">
        <v>0.5</v>
      </c>
      <c r="D32" s="5">
        <v>1</v>
      </c>
      <c r="E32" s="5">
        <v>1.10284998190793</v>
      </c>
    </row>
    <row r="33" spans="1:5" x14ac:dyDescent="0.25">
      <c r="A33" s="5">
        <v>6</v>
      </c>
      <c r="B33" s="5">
        <v>4</v>
      </c>
      <c r="C33" s="5">
        <v>1</v>
      </c>
      <c r="D33" s="5">
        <v>1</v>
      </c>
      <c r="E33" s="5">
        <v>1.3518141996287201</v>
      </c>
    </row>
    <row r="34" spans="1:5" x14ac:dyDescent="0.25">
      <c r="A34" s="5">
        <v>6</v>
      </c>
      <c r="B34" s="5">
        <v>4</v>
      </c>
      <c r="C34" s="5">
        <v>1.5</v>
      </c>
      <c r="D34" s="5">
        <v>1</v>
      </c>
      <c r="E34" s="5">
        <v>1.60123842384735</v>
      </c>
    </row>
    <row r="35" spans="1:5" x14ac:dyDescent="0.25">
      <c r="A35" s="5">
        <v>6</v>
      </c>
      <c r="B35" s="5">
        <v>4</v>
      </c>
      <c r="C35" s="5">
        <v>2</v>
      </c>
      <c r="D35" s="5">
        <v>1</v>
      </c>
      <c r="E35" s="5">
        <v>1.8498022955470801</v>
      </c>
    </row>
    <row r="36" spans="1:5" x14ac:dyDescent="0.25">
      <c r="A36" s="5">
        <v>6</v>
      </c>
      <c r="B36" s="5">
        <v>4</v>
      </c>
      <c r="C36" s="5">
        <v>2.5</v>
      </c>
      <c r="D36" s="5">
        <v>1</v>
      </c>
      <c r="E36" s="5">
        <v>2.0986820038451901</v>
      </c>
    </row>
    <row r="37" spans="1:5" x14ac:dyDescent="0.25">
      <c r="A37" s="5">
        <v>6</v>
      </c>
      <c r="B37" s="5">
        <v>4</v>
      </c>
      <c r="C37" s="5">
        <v>0.5</v>
      </c>
      <c r="D37" s="5">
        <v>1.5</v>
      </c>
      <c r="E37" s="5">
        <v>0.98300793645332196</v>
      </c>
    </row>
    <row r="38" spans="1:5" x14ac:dyDescent="0.25">
      <c r="A38" s="5">
        <v>6</v>
      </c>
      <c r="B38" s="5">
        <v>4</v>
      </c>
      <c r="C38" s="5">
        <v>1</v>
      </c>
      <c r="D38" s="5">
        <v>1.5</v>
      </c>
      <c r="E38" s="5">
        <v>1.17506734799645</v>
      </c>
    </row>
    <row r="39" spans="1:5" x14ac:dyDescent="0.25">
      <c r="A39" s="5">
        <v>6</v>
      </c>
      <c r="B39" s="5">
        <v>4</v>
      </c>
      <c r="C39" s="5">
        <v>1.5</v>
      </c>
      <c r="D39" s="5">
        <v>1.5</v>
      </c>
      <c r="E39" s="5">
        <v>1.3694382004899499</v>
      </c>
    </row>
    <row r="40" spans="1:5" x14ac:dyDescent="0.25">
      <c r="A40" s="5">
        <v>6</v>
      </c>
      <c r="B40" s="5">
        <v>4</v>
      </c>
      <c r="C40" s="5">
        <v>2</v>
      </c>
      <c r="D40" s="5">
        <v>1.5</v>
      </c>
      <c r="E40" s="5">
        <v>1.56620566187719</v>
      </c>
    </row>
    <row r="41" spans="1:5" x14ac:dyDescent="0.25">
      <c r="A41" s="5">
        <v>6</v>
      </c>
      <c r="B41" s="5">
        <v>4</v>
      </c>
      <c r="C41" s="5">
        <v>2.5</v>
      </c>
      <c r="D41" s="5">
        <v>1.5</v>
      </c>
      <c r="E41" s="5">
        <v>1.7517292475109201</v>
      </c>
    </row>
    <row r="42" spans="1:5" x14ac:dyDescent="0.25">
      <c r="A42" s="5">
        <v>6</v>
      </c>
      <c r="B42" s="5">
        <v>4</v>
      </c>
      <c r="C42" s="5">
        <v>0.5</v>
      </c>
      <c r="D42" s="5">
        <v>2</v>
      </c>
      <c r="E42" s="5">
        <v>0.86280281618453603</v>
      </c>
    </row>
    <row r="43" spans="1:5" x14ac:dyDescent="0.25">
      <c r="A43" s="5">
        <v>6</v>
      </c>
      <c r="B43" s="5">
        <v>4</v>
      </c>
      <c r="C43" s="5">
        <v>1</v>
      </c>
      <c r="D43" s="5">
        <v>2</v>
      </c>
      <c r="E43" s="5">
        <v>1.0033304044985001</v>
      </c>
    </row>
    <row r="44" spans="1:5" x14ac:dyDescent="0.25">
      <c r="A44" s="5">
        <v>6</v>
      </c>
      <c r="B44" s="5">
        <v>4</v>
      </c>
      <c r="C44" s="5">
        <v>1.5</v>
      </c>
      <c r="D44" s="5">
        <v>2</v>
      </c>
      <c r="E44" s="5">
        <v>1.1422504556342099</v>
      </c>
    </row>
    <row r="45" spans="1:5" x14ac:dyDescent="0.25">
      <c r="A45" s="5">
        <v>6</v>
      </c>
      <c r="B45" s="5">
        <v>4</v>
      </c>
      <c r="C45" s="5">
        <v>2</v>
      </c>
      <c r="D45" s="5">
        <v>2</v>
      </c>
      <c r="E45" s="5">
        <v>1.2791611656772699</v>
      </c>
    </row>
    <row r="46" spans="1:5" x14ac:dyDescent="0.25">
      <c r="A46" s="5">
        <v>6</v>
      </c>
      <c r="B46" s="5">
        <v>4</v>
      </c>
      <c r="C46" s="5">
        <v>2.5</v>
      </c>
      <c r="D46" s="5">
        <v>2</v>
      </c>
      <c r="E46" s="5">
        <v>1.4129997130412</v>
      </c>
    </row>
    <row r="47" spans="1:5" x14ac:dyDescent="0.25">
      <c r="A47" s="5">
        <v>6</v>
      </c>
      <c r="B47" s="5">
        <v>4</v>
      </c>
      <c r="C47" s="5">
        <v>0.5</v>
      </c>
      <c r="D47" s="5">
        <v>2.5</v>
      </c>
      <c r="E47" s="5">
        <v>0.74892194718984295</v>
      </c>
    </row>
    <row r="48" spans="1:5" x14ac:dyDescent="0.25">
      <c r="A48" s="5">
        <v>6</v>
      </c>
      <c r="B48" s="5">
        <v>4</v>
      </c>
      <c r="C48" s="5">
        <v>1</v>
      </c>
      <c r="D48" s="5">
        <v>2.5</v>
      </c>
      <c r="E48" s="5">
        <v>0.83276341437743395</v>
      </c>
    </row>
    <row r="49" spans="1:5" x14ac:dyDescent="0.25">
      <c r="A49" s="5">
        <v>6</v>
      </c>
      <c r="B49" s="5">
        <v>4</v>
      </c>
      <c r="C49" s="5">
        <v>1.5</v>
      </c>
      <c r="D49" s="5">
        <v>2.5</v>
      </c>
      <c r="E49" s="5">
        <v>0.912015926942639</v>
      </c>
    </row>
    <row r="50" spans="1:5" x14ac:dyDescent="0.25">
      <c r="A50" s="5">
        <v>6</v>
      </c>
      <c r="B50" s="5">
        <v>4</v>
      </c>
      <c r="C50" s="5">
        <v>2</v>
      </c>
      <c r="D50" s="5">
        <v>2.5</v>
      </c>
      <c r="E50" s="5">
        <v>0.99585179096873699</v>
      </c>
    </row>
    <row r="51" spans="1:5" x14ac:dyDescent="0.25">
      <c r="A51" s="5">
        <v>6</v>
      </c>
      <c r="B51" s="5">
        <v>4</v>
      </c>
      <c r="C51" s="5">
        <v>2.5</v>
      </c>
      <c r="D51" s="5">
        <v>2.5</v>
      </c>
      <c r="E51" s="5">
        <v>1.07662651666634</v>
      </c>
    </row>
    <row r="52" spans="1:5" x14ac:dyDescent="0.25">
      <c r="A52" s="5">
        <v>6</v>
      </c>
      <c r="B52" s="5">
        <v>6</v>
      </c>
      <c r="C52" s="5">
        <v>0.5</v>
      </c>
      <c r="D52" s="5">
        <v>0.5</v>
      </c>
      <c r="E52" s="5">
        <v>1.1343924191930701</v>
      </c>
    </row>
    <row r="53" spans="1:5" x14ac:dyDescent="0.25">
      <c r="A53" s="5">
        <v>6</v>
      </c>
      <c r="B53" s="5">
        <v>6</v>
      </c>
      <c r="C53" s="5">
        <v>1</v>
      </c>
      <c r="D53" s="5">
        <v>0.5</v>
      </c>
      <c r="E53" s="5">
        <v>1.13168372605593</v>
      </c>
    </row>
    <row r="54" spans="1:5" x14ac:dyDescent="0.25">
      <c r="A54" s="5">
        <v>6</v>
      </c>
      <c r="B54" s="5">
        <v>6</v>
      </c>
      <c r="C54" s="5">
        <v>1.5</v>
      </c>
      <c r="D54" s="5">
        <v>0.5</v>
      </c>
      <c r="E54" s="5">
        <v>1.1329156111481899</v>
      </c>
    </row>
    <row r="55" spans="1:5" x14ac:dyDescent="0.25">
      <c r="A55" s="5">
        <v>6</v>
      </c>
      <c r="B55" s="5">
        <v>6</v>
      </c>
      <c r="C55" s="5">
        <v>2</v>
      </c>
      <c r="D55" s="5">
        <v>0.5</v>
      </c>
      <c r="E55" s="5">
        <v>1.13022123174222</v>
      </c>
    </row>
    <row r="56" spans="1:5" x14ac:dyDescent="0.25">
      <c r="A56" s="5">
        <v>6</v>
      </c>
      <c r="B56" s="5">
        <v>6</v>
      </c>
      <c r="C56" s="5">
        <v>2.5</v>
      </c>
      <c r="D56" s="5">
        <v>0.5</v>
      </c>
      <c r="E56" s="5">
        <v>1.13022601807734</v>
      </c>
    </row>
    <row r="57" spans="1:5" x14ac:dyDescent="0.25">
      <c r="A57" s="5">
        <v>6</v>
      </c>
      <c r="B57" s="5">
        <v>6</v>
      </c>
      <c r="C57" s="5">
        <v>0.5</v>
      </c>
      <c r="D57" s="5">
        <v>1</v>
      </c>
      <c r="E57" s="5">
        <v>1.04183993678826</v>
      </c>
    </row>
    <row r="58" spans="1:5" x14ac:dyDescent="0.25">
      <c r="A58" s="5">
        <v>6</v>
      </c>
      <c r="B58" s="5">
        <v>6</v>
      </c>
      <c r="C58" s="5">
        <v>1</v>
      </c>
      <c r="D58" s="5">
        <v>1</v>
      </c>
      <c r="E58" s="5">
        <v>1.0435839980982999</v>
      </c>
    </row>
    <row r="59" spans="1:5" x14ac:dyDescent="0.25">
      <c r="A59" s="5">
        <v>6</v>
      </c>
      <c r="B59" s="5">
        <v>6</v>
      </c>
      <c r="C59" s="5">
        <v>1.5</v>
      </c>
      <c r="D59" s="5">
        <v>1</v>
      </c>
      <c r="E59" s="5">
        <v>1.0387875091168399</v>
      </c>
    </row>
    <row r="60" spans="1:5" x14ac:dyDescent="0.25">
      <c r="A60" s="5">
        <v>6</v>
      </c>
      <c r="B60" s="5">
        <v>6</v>
      </c>
      <c r="C60" s="5">
        <v>2</v>
      </c>
      <c r="D60" s="5">
        <v>1</v>
      </c>
      <c r="E60" s="5">
        <v>1.03901345387195</v>
      </c>
    </row>
    <row r="61" spans="1:5" x14ac:dyDescent="0.25">
      <c r="A61" s="5">
        <v>6</v>
      </c>
      <c r="B61" s="5">
        <v>6</v>
      </c>
      <c r="C61" s="5">
        <v>2.5</v>
      </c>
      <c r="D61" s="5">
        <v>1</v>
      </c>
      <c r="E61" s="5">
        <v>1.03891981055495</v>
      </c>
    </row>
    <row r="62" spans="1:5" x14ac:dyDescent="0.25">
      <c r="A62" s="5">
        <v>6</v>
      </c>
      <c r="B62" s="5">
        <v>6</v>
      </c>
      <c r="C62" s="5">
        <v>0.5</v>
      </c>
      <c r="D62" s="5">
        <v>1.5</v>
      </c>
      <c r="E62" s="5">
        <v>0.94699783037366103</v>
      </c>
    </row>
    <row r="63" spans="1:5" x14ac:dyDescent="0.25">
      <c r="A63" s="5">
        <v>6</v>
      </c>
      <c r="B63" s="5">
        <v>6</v>
      </c>
      <c r="C63" s="5">
        <v>1</v>
      </c>
      <c r="D63" s="5">
        <v>1.5</v>
      </c>
      <c r="E63" s="5">
        <v>0.94802265782134298</v>
      </c>
    </row>
    <row r="64" spans="1:5" x14ac:dyDescent="0.25">
      <c r="A64" s="5">
        <v>6</v>
      </c>
      <c r="B64" s="5">
        <v>6</v>
      </c>
      <c r="C64" s="5">
        <v>1.5</v>
      </c>
      <c r="D64" s="5">
        <v>1.5</v>
      </c>
      <c r="E64" s="5">
        <v>0.94409787355730101</v>
      </c>
    </row>
    <row r="65" spans="1:5" x14ac:dyDescent="0.25">
      <c r="A65" s="5">
        <v>6</v>
      </c>
      <c r="B65" s="5">
        <v>6</v>
      </c>
      <c r="C65" s="5">
        <v>2</v>
      </c>
      <c r="D65" s="5">
        <v>1.5</v>
      </c>
      <c r="E65" s="5">
        <v>0.94507802129256102</v>
      </c>
    </row>
    <row r="66" spans="1:5" x14ac:dyDescent="0.25">
      <c r="A66" s="5">
        <v>6</v>
      </c>
      <c r="B66" s="5">
        <v>6</v>
      </c>
      <c r="C66" s="5">
        <v>2.5</v>
      </c>
      <c r="D66" s="5">
        <v>1.5</v>
      </c>
      <c r="E66" s="5">
        <v>0.94405837966725903</v>
      </c>
    </row>
    <row r="67" spans="1:5" x14ac:dyDescent="0.25">
      <c r="A67" s="5">
        <v>6</v>
      </c>
      <c r="B67" s="5">
        <v>6</v>
      </c>
      <c r="C67" s="5">
        <v>0.5</v>
      </c>
      <c r="D67" s="5">
        <v>2</v>
      </c>
      <c r="E67" s="5">
        <v>0.85324429869993001</v>
      </c>
    </row>
    <row r="68" spans="1:5" x14ac:dyDescent="0.25">
      <c r="A68" s="5">
        <v>6</v>
      </c>
      <c r="B68" s="5">
        <v>6</v>
      </c>
      <c r="C68" s="5">
        <v>1</v>
      </c>
      <c r="D68" s="5">
        <v>2</v>
      </c>
      <c r="E68" s="5">
        <v>0.85273422004277299</v>
      </c>
    </row>
    <row r="69" spans="1:5" x14ac:dyDescent="0.25">
      <c r="A69" s="5">
        <v>6</v>
      </c>
      <c r="B69" s="5">
        <v>6</v>
      </c>
      <c r="C69" s="5">
        <v>1.5</v>
      </c>
      <c r="D69" s="5">
        <v>2</v>
      </c>
      <c r="E69" s="5">
        <v>0.85030063711401505</v>
      </c>
    </row>
    <row r="70" spans="1:5" x14ac:dyDescent="0.25">
      <c r="A70" s="5">
        <v>6</v>
      </c>
      <c r="B70" s="5">
        <v>6</v>
      </c>
      <c r="C70" s="5">
        <v>2</v>
      </c>
      <c r="D70" s="5">
        <v>2</v>
      </c>
      <c r="E70" s="5">
        <v>0.85031200747620295</v>
      </c>
    </row>
    <row r="71" spans="1:5" x14ac:dyDescent="0.25">
      <c r="A71" s="5">
        <v>6</v>
      </c>
      <c r="B71" s="5">
        <v>6</v>
      </c>
      <c r="C71" s="5">
        <v>2.5</v>
      </c>
      <c r="D71" s="5">
        <v>2</v>
      </c>
      <c r="E71" s="5">
        <v>0.85026172865319305</v>
      </c>
    </row>
    <row r="72" spans="1:5" x14ac:dyDescent="0.25">
      <c r="A72" s="5">
        <v>6</v>
      </c>
      <c r="B72" s="5">
        <v>6</v>
      </c>
      <c r="C72" s="5">
        <v>0.5</v>
      </c>
      <c r="D72" s="5">
        <v>2.5</v>
      </c>
      <c r="E72" s="5">
        <v>0.76113479824380104</v>
      </c>
    </row>
    <row r="73" spans="1:5" x14ac:dyDescent="0.25">
      <c r="A73" s="5">
        <v>6</v>
      </c>
      <c r="B73" s="5">
        <v>6</v>
      </c>
      <c r="C73" s="5">
        <v>1</v>
      </c>
      <c r="D73" s="5">
        <v>2.5</v>
      </c>
      <c r="E73" s="5">
        <v>0.75964957383986698</v>
      </c>
    </row>
    <row r="74" spans="1:5" x14ac:dyDescent="0.25">
      <c r="A74" s="5">
        <v>6</v>
      </c>
      <c r="B74" s="5">
        <v>6</v>
      </c>
      <c r="C74" s="5">
        <v>1.5</v>
      </c>
      <c r="D74" s="5">
        <v>2.5</v>
      </c>
      <c r="E74" s="5">
        <v>0.75966037337881198</v>
      </c>
    </row>
    <row r="75" spans="1:5" x14ac:dyDescent="0.25">
      <c r="A75" s="5">
        <v>6</v>
      </c>
      <c r="B75" s="5">
        <v>6</v>
      </c>
      <c r="C75" s="5">
        <v>2</v>
      </c>
      <c r="D75" s="5">
        <v>2.5</v>
      </c>
      <c r="E75" s="5">
        <v>0.75962680538991501</v>
      </c>
    </row>
    <row r="76" spans="1:5" x14ac:dyDescent="0.25">
      <c r="A76" s="5">
        <v>6</v>
      </c>
      <c r="B76" s="5">
        <v>6</v>
      </c>
      <c r="C76" s="5">
        <v>2.5</v>
      </c>
      <c r="D76" s="5">
        <v>2.5</v>
      </c>
      <c r="E76" s="5">
        <v>0.75891146457318004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0D76A-842A-4B20-9E3F-256DF898F0FF}">
  <dimension ref="A1:K36"/>
  <sheetViews>
    <sheetView zoomScale="85" zoomScaleNormal="85" workbookViewId="0">
      <selection sqref="A1:K1"/>
    </sheetView>
  </sheetViews>
  <sheetFormatPr defaultRowHeight="14" x14ac:dyDescent="0.25"/>
  <cols>
    <col min="1" max="1" width="34" customWidth="1"/>
    <col min="2" max="3" width="12.81640625" customWidth="1"/>
    <col min="4" max="4" width="14.6328125" customWidth="1"/>
    <col min="5" max="5" width="17.453125" customWidth="1"/>
    <col min="6" max="6" width="22.90625" customWidth="1"/>
    <col min="7" max="7" width="34.1796875" customWidth="1"/>
    <col min="8" max="8" width="32.08984375" customWidth="1"/>
    <col min="9" max="9" width="41.7265625" customWidth="1"/>
    <col min="10" max="10" width="24.7265625" customWidth="1"/>
    <col min="11" max="11" width="43" customWidth="1"/>
  </cols>
  <sheetData>
    <row r="1" spans="1:11" x14ac:dyDescent="0.25">
      <c r="A1" s="25" t="s">
        <v>52</v>
      </c>
      <c r="B1" s="25" t="s">
        <v>53</v>
      </c>
      <c r="C1" s="25" t="s">
        <v>64</v>
      </c>
      <c r="D1" s="25" t="s">
        <v>2</v>
      </c>
      <c r="E1" s="25" t="s">
        <v>65</v>
      </c>
      <c r="F1" s="25" t="s">
        <v>54</v>
      </c>
      <c r="G1" s="25" t="s">
        <v>66</v>
      </c>
      <c r="H1" s="25" t="s">
        <v>55</v>
      </c>
      <c r="I1" s="25" t="s">
        <v>67</v>
      </c>
      <c r="J1" s="25" t="s">
        <v>56</v>
      </c>
      <c r="K1" s="25" t="s">
        <v>68</v>
      </c>
    </row>
    <row r="2" spans="1:11" x14ac:dyDescent="0.25">
      <c r="A2" s="15" t="s">
        <v>57</v>
      </c>
      <c r="B2" s="15">
        <v>0.5</v>
      </c>
      <c r="C2" s="15">
        <v>6</v>
      </c>
      <c r="D2" s="1">
        <v>0.99743999999999999</v>
      </c>
      <c r="E2" s="20">
        <f>(D2-1.043584)/1.043584</f>
        <v>-4.4216852692260583E-2</v>
      </c>
      <c r="F2" s="15">
        <v>835164</v>
      </c>
      <c r="G2" s="20">
        <f>(F2-766192)/766192</f>
        <v>9.0019211894668702E-2</v>
      </c>
      <c r="H2" s="15">
        <v>390781</v>
      </c>
      <c r="I2" s="20">
        <f>(H2-421555)/421555</f>
        <v>-7.3001150502306933E-2</v>
      </c>
      <c r="J2">
        <v>1669</v>
      </c>
      <c r="K2" s="20">
        <f>(J2-1669)/1669</f>
        <v>0</v>
      </c>
    </row>
    <row r="3" spans="1:11" x14ac:dyDescent="0.25">
      <c r="A3" s="15" t="s">
        <v>57</v>
      </c>
      <c r="B3" s="15">
        <v>1</v>
      </c>
      <c r="C3" s="15">
        <v>6</v>
      </c>
      <c r="D3" s="1">
        <v>1.0435840000000001</v>
      </c>
      <c r="E3" s="11">
        <f t="shared" ref="E3:E36" si="0">(D3-1.043584)/1.043584</f>
        <v>0</v>
      </c>
      <c r="F3">
        <v>766192</v>
      </c>
      <c r="G3" s="11">
        <f t="shared" ref="G3:G11" si="1">(F3-766192)/766192</f>
        <v>0</v>
      </c>
      <c r="H3">
        <v>421555</v>
      </c>
      <c r="I3" s="11">
        <f>(H3-421555)/421555</f>
        <v>0</v>
      </c>
      <c r="J3">
        <v>1669</v>
      </c>
      <c r="K3" s="11">
        <f t="shared" ref="K3:K11" si="2">(J3-1669)/1669</f>
        <v>0</v>
      </c>
    </row>
    <row r="4" spans="1:11" x14ac:dyDescent="0.25">
      <c r="A4" s="15" t="s">
        <v>57</v>
      </c>
      <c r="B4" s="15">
        <v>1.5</v>
      </c>
      <c r="C4" s="15">
        <v>6</v>
      </c>
      <c r="D4" s="1">
        <v>1.069501</v>
      </c>
      <c r="E4" s="11">
        <f t="shared" si="0"/>
        <v>2.4834608426346098E-2</v>
      </c>
      <c r="F4">
        <v>541558</v>
      </c>
      <c r="G4" s="11">
        <f t="shared" si="1"/>
        <v>-0.29318238770438743</v>
      </c>
      <c r="H4">
        <v>643546</v>
      </c>
      <c r="I4" s="11">
        <f t="shared" ref="I4:I6" si="3">(H4-421555)/421555</f>
        <v>0.52660032498724962</v>
      </c>
      <c r="J4">
        <v>1669</v>
      </c>
      <c r="K4" s="11">
        <f t="shared" si="2"/>
        <v>0</v>
      </c>
    </row>
    <row r="5" spans="1:11" x14ac:dyDescent="0.25">
      <c r="A5" s="15" t="s">
        <v>57</v>
      </c>
      <c r="B5" s="15">
        <v>2</v>
      </c>
      <c r="C5" s="15">
        <v>6</v>
      </c>
      <c r="D5" s="1">
        <v>1.091574</v>
      </c>
      <c r="E5" s="11">
        <f t="shared" si="0"/>
        <v>4.5985756776646611E-2</v>
      </c>
      <c r="F5">
        <v>443648</v>
      </c>
      <c r="G5" s="11">
        <f t="shared" si="1"/>
        <v>-0.42097020068076929</v>
      </c>
      <c r="H5" s="15">
        <v>767456</v>
      </c>
      <c r="I5" s="11">
        <f t="shared" si="3"/>
        <v>0.82053587313636422</v>
      </c>
      <c r="J5">
        <v>1669</v>
      </c>
      <c r="K5" s="11">
        <f t="shared" si="2"/>
        <v>0</v>
      </c>
    </row>
    <row r="6" spans="1:11" ht="16" customHeight="1" x14ac:dyDescent="0.25">
      <c r="A6" s="15" t="s">
        <v>57</v>
      </c>
      <c r="B6" s="15">
        <v>2.5</v>
      </c>
      <c r="C6" s="15">
        <v>6</v>
      </c>
      <c r="D6" s="1">
        <v>1.109807</v>
      </c>
      <c r="E6" s="20">
        <f t="shared" si="0"/>
        <v>6.3457277995829675E-2</v>
      </c>
      <c r="F6" s="15">
        <v>384628</v>
      </c>
      <c r="G6" s="20">
        <f t="shared" si="1"/>
        <v>-0.49800050117986094</v>
      </c>
      <c r="H6" s="15">
        <v>767456</v>
      </c>
      <c r="I6" s="20">
        <f t="shared" si="3"/>
        <v>0.82053587313636422</v>
      </c>
      <c r="J6" s="15">
        <v>1837</v>
      </c>
      <c r="K6" s="20">
        <f t="shared" si="2"/>
        <v>0.10065907729179149</v>
      </c>
    </row>
    <row r="7" spans="1:11" s="18" customFormat="1" x14ac:dyDescent="0.25">
      <c r="A7" s="16" t="s">
        <v>58</v>
      </c>
      <c r="B7" s="16">
        <v>0.5</v>
      </c>
      <c r="C7" s="16">
        <v>6</v>
      </c>
      <c r="D7" s="17">
        <v>1.0016370000000001</v>
      </c>
      <c r="E7" s="21">
        <f t="shared" si="0"/>
        <v>-4.0195135226297023E-2</v>
      </c>
      <c r="F7" s="18">
        <v>766192</v>
      </c>
      <c r="G7" s="21">
        <f>(F7-766192)/766192</f>
        <v>0</v>
      </c>
      <c r="H7" s="18">
        <v>462453</v>
      </c>
      <c r="I7" s="21">
        <f>(H7-421555)/421555</f>
        <v>9.7016996595936475E-2</v>
      </c>
      <c r="J7" s="9">
        <v>1669</v>
      </c>
      <c r="K7" s="21">
        <f>(J7-1669)/1669</f>
        <v>0</v>
      </c>
    </row>
    <row r="8" spans="1:11" s="18" customFormat="1" x14ac:dyDescent="0.25">
      <c r="A8" s="16" t="s">
        <v>58</v>
      </c>
      <c r="B8" s="16">
        <v>1</v>
      </c>
      <c r="C8" s="16">
        <v>6</v>
      </c>
      <c r="D8" s="17">
        <v>1.0435840000000001</v>
      </c>
      <c r="E8" s="19">
        <f t="shared" si="0"/>
        <v>0</v>
      </c>
      <c r="F8" s="18">
        <v>766192</v>
      </c>
      <c r="G8" s="19">
        <f t="shared" si="1"/>
        <v>0</v>
      </c>
      <c r="H8" s="18">
        <v>421555</v>
      </c>
      <c r="I8" s="19">
        <f>(H8-421555)/421555</f>
        <v>0</v>
      </c>
      <c r="J8" s="9">
        <v>1669</v>
      </c>
      <c r="K8" s="19">
        <f t="shared" si="2"/>
        <v>0</v>
      </c>
    </row>
    <row r="9" spans="1:11" s="18" customFormat="1" x14ac:dyDescent="0.25">
      <c r="A9" s="16" t="s">
        <v>58</v>
      </c>
      <c r="B9" s="16">
        <v>1.5</v>
      </c>
      <c r="C9" s="16">
        <v>6</v>
      </c>
      <c r="D9" s="17">
        <v>1.0643400000000001</v>
      </c>
      <c r="E9" s="19">
        <f t="shared" si="0"/>
        <v>1.9889151232675085E-2</v>
      </c>
      <c r="F9" s="18">
        <v>766192</v>
      </c>
      <c r="G9" s="19">
        <f t="shared" si="1"/>
        <v>0</v>
      </c>
      <c r="H9" s="18">
        <v>416365</v>
      </c>
      <c r="I9" s="19">
        <f t="shared" ref="I9:I11" si="4">(H9-421555)/421555</f>
        <v>-1.2311560769057418E-2</v>
      </c>
      <c r="J9" s="9">
        <v>1669</v>
      </c>
      <c r="K9" s="19">
        <f t="shared" si="2"/>
        <v>0</v>
      </c>
    </row>
    <row r="10" spans="1:11" s="18" customFormat="1" x14ac:dyDescent="0.25">
      <c r="A10" s="16" t="s">
        <v>58</v>
      </c>
      <c r="B10" s="16">
        <v>2</v>
      </c>
      <c r="C10" s="16">
        <v>6</v>
      </c>
      <c r="D10" s="17">
        <v>1.086265</v>
      </c>
      <c r="E10" s="19">
        <f t="shared" si="0"/>
        <v>4.0898480620630409E-2</v>
      </c>
      <c r="F10" s="18">
        <v>766192</v>
      </c>
      <c r="G10" s="19">
        <f t="shared" si="1"/>
        <v>0</v>
      </c>
      <c r="H10" s="18">
        <v>416365</v>
      </c>
      <c r="I10" s="19">
        <f t="shared" si="4"/>
        <v>-1.2311560769057418E-2</v>
      </c>
      <c r="J10" s="9">
        <v>1669</v>
      </c>
      <c r="K10" s="19">
        <f t="shared" si="2"/>
        <v>0</v>
      </c>
    </row>
    <row r="11" spans="1:11" s="18" customFormat="1" x14ac:dyDescent="0.25">
      <c r="A11" s="16" t="s">
        <v>58</v>
      </c>
      <c r="B11" s="16">
        <v>2.5</v>
      </c>
      <c r="C11" s="16">
        <v>6</v>
      </c>
      <c r="D11" s="17">
        <v>1.1016170000000001</v>
      </c>
      <c r="E11" s="21">
        <f t="shared" si="0"/>
        <v>5.5609323255243467E-2</v>
      </c>
      <c r="F11" s="18">
        <v>852472</v>
      </c>
      <c r="G11" s="21">
        <f t="shared" si="1"/>
        <v>0.11260885000104412</v>
      </c>
      <c r="H11" s="18">
        <v>387413</v>
      </c>
      <c r="I11" s="21">
        <f t="shared" si="4"/>
        <v>-8.0990618068816647E-2</v>
      </c>
      <c r="J11" s="16">
        <v>1837</v>
      </c>
      <c r="K11" s="21">
        <f t="shared" si="2"/>
        <v>0.10065907729179149</v>
      </c>
    </row>
    <row r="12" spans="1:11" x14ac:dyDescent="0.25">
      <c r="A12" s="15" t="s">
        <v>59</v>
      </c>
      <c r="B12" s="15">
        <v>0.5</v>
      </c>
      <c r="C12" s="15">
        <v>6</v>
      </c>
      <c r="D12" s="1">
        <v>1.013962</v>
      </c>
      <c r="E12" s="20">
        <f t="shared" si="0"/>
        <v>-2.8384873666135197E-2</v>
      </c>
      <c r="F12" s="15">
        <v>835164</v>
      </c>
      <c r="G12" s="20">
        <f>(F12-766192)/766192</f>
        <v>9.0019211894668702E-2</v>
      </c>
      <c r="H12" s="15">
        <v>390781</v>
      </c>
      <c r="I12" s="20">
        <f>(H12-421555)/421555</f>
        <v>-7.3001150502306933E-2</v>
      </c>
      <c r="J12" s="8">
        <v>1669</v>
      </c>
      <c r="K12" s="20">
        <f>(J12-1669)/1669</f>
        <v>0</v>
      </c>
    </row>
    <row r="13" spans="1:11" x14ac:dyDescent="0.25">
      <c r="A13" s="15" t="s">
        <v>59</v>
      </c>
      <c r="B13" s="15">
        <v>1</v>
      </c>
      <c r="C13" s="15">
        <v>6</v>
      </c>
      <c r="D13" s="1">
        <v>1.0435840000000001</v>
      </c>
      <c r="E13" s="11">
        <f t="shared" si="0"/>
        <v>0</v>
      </c>
      <c r="F13" s="8">
        <v>766192</v>
      </c>
      <c r="G13" s="11">
        <f t="shared" ref="G13:G16" si="5">(F13-766192)/766192</f>
        <v>0</v>
      </c>
      <c r="H13" s="8">
        <v>421555</v>
      </c>
      <c r="I13" s="11">
        <f>(H13-421555)/421555</f>
        <v>0</v>
      </c>
      <c r="J13" s="8">
        <v>1669</v>
      </c>
      <c r="K13" s="11">
        <f t="shared" ref="K13:K16" si="6">(J13-1669)/1669</f>
        <v>0</v>
      </c>
    </row>
    <row r="14" spans="1:11" x14ac:dyDescent="0.25">
      <c r="A14" s="15" t="s">
        <v>59</v>
      </c>
      <c r="B14" s="15">
        <v>1.5</v>
      </c>
      <c r="C14" s="15">
        <v>6</v>
      </c>
      <c r="D14" s="1">
        <v>1.060187</v>
      </c>
      <c r="E14" s="11">
        <f t="shared" si="0"/>
        <v>1.5909596160922284E-2</v>
      </c>
      <c r="F14" s="8">
        <v>614092</v>
      </c>
      <c r="G14" s="11">
        <f t="shared" si="5"/>
        <v>-0.19851421053730658</v>
      </c>
      <c r="H14" s="8">
        <v>536756</v>
      </c>
      <c r="I14" s="11">
        <f t="shared" ref="I14:I16" si="7">(H14-421555)/421555</f>
        <v>0.27327632218808934</v>
      </c>
      <c r="J14" s="8">
        <v>1669</v>
      </c>
      <c r="K14" s="11">
        <f t="shared" si="6"/>
        <v>0</v>
      </c>
    </row>
    <row r="15" spans="1:11" x14ac:dyDescent="0.25">
      <c r="A15" s="15" t="s">
        <v>59</v>
      </c>
      <c r="B15" s="15">
        <v>2</v>
      </c>
      <c r="C15" s="15">
        <v>6</v>
      </c>
      <c r="D15" s="1">
        <v>1.0755999999999999</v>
      </c>
      <c r="E15" s="11">
        <f t="shared" si="0"/>
        <v>3.0678891205690985E-2</v>
      </c>
      <c r="F15" s="8">
        <v>477420</v>
      </c>
      <c r="G15" s="11">
        <f t="shared" si="5"/>
        <v>-0.37689247603733789</v>
      </c>
      <c r="H15" s="8">
        <v>686329</v>
      </c>
      <c r="I15" s="11">
        <f t="shared" si="7"/>
        <v>0.62808886147715004</v>
      </c>
      <c r="J15" s="8">
        <v>1669</v>
      </c>
      <c r="K15" s="11">
        <f t="shared" si="6"/>
        <v>0</v>
      </c>
    </row>
    <row r="16" spans="1:11" x14ac:dyDescent="0.25">
      <c r="A16" s="15" t="s">
        <v>59</v>
      </c>
      <c r="B16" s="15">
        <v>2.5</v>
      </c>
      <c r="C16" s="15">
        <v>6</v>
      </c>
      <c r="D16" s="1">
        <v>1.0889530000000001</v>
      </c>
      <c r="E16" s="20">
        <f t="shared" si="0"/>
        <v>4.3474219612412601E-2</v>
      </c>
      <c r="F16" s="15">
        <v>359143</v>
      </c>
      <c r="G16" s="20">
        <f t="shared" si="5"/>
        <v>-0.5312623989809343</v>
      </c>
      <c r="H16" s="15">
        <v>767456</v>
      </c>
      <c r="I16" s="20">
        <f t="shared" si="7"/>
        <v>0.82053587313636422</v>
      </c>
      <c r="J16" s="8">
        <v>1669</v>
      </c>
      <c r="K16" s="20">
        <f t="shared" si="6"/>
        <v>0</v>
      </c>
    </row>
    <row r="17" spans="1:11" s="18" customFormat="1" x14ac:dyDescent="0.25">
      <c r="A17" s="16" t="s">
        <v>60</v>
      </c>
      <c r="B17" s="16">
        <v>0.5</v>
      </c>
      <c r="C17" s="16">
        <v>6</v>
      </c>
      <c r="D17" s="17">
        <v>1.016135</v>
      </c>
      <c r="E17" s="21">
        <f t="shared" si="0"/>
        <v>-2.6302626333864886E-2</v>
      </c>
      <c r="F17" s="18">
        <v>687643</v>
      </c>
      <c r="G17" s="21">
        <f>(F17-766192)/766192</f>
        <v>-0.10251868983231358</v>
      </c>
      <c r="H17" s="18">
        <v>462453</v>
      </c>
      <c r="I17" s="21">
        <f>(H17-421555)/421555</f>
        <v>9.7016996595936475E-2</v>
      </c>
      <c r="J17" s="18">
        <v>1516</v>
      </c>
      <c r="K17" s="21">
        <f>(J17-1669)/1669</f>
        <v>-9.1671659676452966E-2</v>
      </c>
    </row>
    <row r="18" spans="1:11" s="18" customFormat="1" x14ac:dyDescent="0.25">
      <c r="A18" s="16" t="s">
        <v>60</v>
      </c>
      <c r="B18" s="16">
        <v>1</v>
      </c>
      <c r="C18" s="16">
        <v>6</v>
      </c>
      <c r="D18" s="17">
        <v>1.0435840000000001</v>
      </c>
      <c r="E18" s="19">
        <f t="shared" si="0"/>
        <v>0</v>
      </c>
      <c r="F18" s="18">
        <v>766192</v>
      </c>
      <c r="G18" s="19">
        <f t="shared" ref="G18:G21" si="8">(F18-766192)/766192</f>
        <v>0</v>
      </c>
      <c r="H18" s="18">
        <v>421555</v>
      </c>
      <c r="I18" s="19">
        <f>(H18-421555)/421555</f>
        <v>0</v>
      </c>
      <c r="J18" s="18">
        <v>1669</v>
      </c>
      <c r="K18" s="19">
        <f t="shared" ref="K18:K21" si="9">(J18-1669)/1669</f>
        <v>0</v>
      </c>
    </row>
    <row r="19" spans="1:11" s="18" customFormat="1" x14ac:dyDescent="0.25">
      <c r="A19" s="16" t="s">
        <v>60</v>
      </c>
      <c r="B19" s="16">
        <v>1.5</v>
      </c>
      <c r="C19" s="16">
        <v>6</v>
      </c>
      <c r="D19" s="17">
        <v>1.055272</v>
      </c>
      <c r="E19" s="19">
        <f t="shared" si="0"/>
        <v>1.1199865080338449E-2</v>
      </c>
      <c r="F19" s="18">
        <v>766192</v>
      </c>
      <c r="G19" s="19">
        <f t="shared" si="8"/>
        <v>0</v>
      </c>
      <c r="H19" s="18">
        <v>416365</v>
      </c>
      <c r="I19" s="19">
        <f t="shared" ref="I19:I21" si="10">(H19-421555)/421555</f>
        <v>-1.2311560769057418E-2</v>
      </c>
      <c r="J19" s="18">
        <v>1669</v>
      </c>
      <c r="K19" s="19">
        <f t="shared" si="9"/>
        <v>0</v>
      </c>
    </row>
    <row r="20" spans="1:11" s="18" customFormat="1" x14ac:dyDescent="0.25">
      <c r="A20" s="16" t="s">
        <v>60</v>
      </c>
      <c r="B20" s="16">
        <v>2</v>
      </c>
      <c r="C20" s="16">
        <v>6</v>
      </c>
      <c r="D20" s="17">
        <v>1.064109</v>
      </c>
      <c r="E20" s="19">
        <f t="shared" si="0"/>
        <v>1.9667798663068715E-2</v>
      </c>
      <c r="F20" s="18">
        <v>766192</v>
      </c>
      <c r="G20" s="19">
        <f t="shared" si="8"/>
        <v>0</v>
      </c>
      <c r="H20" s="18">
        <v>416365</v>
      </c>
      <c r="I20" s="19">
        <f t="shared" si="10"/>
        <v>-1.2311560769057418E-2</v>
      </c>
      <c r="J20" s="18">
        <v>1669</v>
      </c>
      <c r="K20" s="19">
        <f t="shared" si="9"/>
        <v>0</v>
      </c>
    </row>
    <row r="21" spans="1:11" s="18" customFormat="1" x14ac:dyDescent="0.25">
      <c r="A21" s="16" t="s">
        <v>60</v>
      </c>
      <c r="B21" s="16">
        <v>2.5</v>
      </c>
      <c r="C21" s="16">
        <v>6</v>
      </c>
      <c r="D21" s="17">
        <v>1.069728</v>
      </c>
      <c r="E21" s="21">
        <f t="shared" si="0"/>
        <v>2.5052128051024108E-2</v>
      </c>
      <c r="F21" s="18">
        <v>835164</v>
      </c>
      <c r="G21" s="21">
        <f t="shared" si="8"/>
        <v>9.0019211894668702E-2</v>
      </c>
      <c r="H21" s="18">
        <v>387413</v>
      </c>
      <c r="I21" s="21">
        <f t="shared" si="10"/>
        <v>-8.0990618068816647E-2</v>
      </c>
      <c r="J21" s="18">
        <v>1837</v>
      </c>
      <c r="K21" s="21">
        <f t="shared" si="9"/>
        <v>0.10065907729179149</v>
      </c>
    </row>
    <row r="22" spans="1:11" x14ac:dyDescent="0.25">
      <c r="A22" s="15" t="s">
        <v>61</v>
      </c>
      <c r="B22" s="15">
        <v>0.5</v>
      </c>
      <c r="C22" s="15">
        <v>6</v>
      </c>
      <c r="D22" s="1">
        <v>1.0210319999999999</v>
      </c>
      <c r="E22" s="20">
        <f t="shared" si="0"/>
        <v>-2.1610143505458236E-2</v>
      </c>
      <c r="F22" s="15">
        <v>601461</v>
      </c>
      <c r="G22" s="20">
        <f>(F22-766192)/766192</f>
        <v>-0.2149996345563514</v>
      </c>
      <c r="H22" s="8">
        <v>589754</v>
      </c>
      <c r="I22" s="20">
        <f>(H22-421555)/421555</f>
        <v>0.39899657221477625</v>
      </c>
      <c r="J22" s="8">
        <v>1669</v>
      </c>
      <c r="K22" s="20">
        <f>(J22-1669)/1669</f>
        <v>0</v>
      </c>
    </row>
    <row r="23" spans="1:11" x14ac:dyDescent="0.25">
      <c r="A23" s="15" t="s">
        <v>61</v>
      </c>
      <c r="B23" s="15">
        <v>1</v>
      </c>
      <c r="C23" s="15">
        <v>6</v>
      </c>
      <c r="D23" s="1">
        <v>1.0435840000000001</v>
      </c>
      <c r="E23" s="11">
        <f t="shared" si="0"/>
        <v>0</v>
      </c>
      <c r="F23" s="8">
        <v>766192</v>
      </c>
      <c r="G23" s="11">
        <f t="shared" ref="G23:G26" si="11">(F23-766192)/766192</f>
        <v>0</v>
      </c>
      <c r="H23" s="8">
        <v>421555</v>
      </c>
      <c r="I23" s="11">
        <f>(H23-421555)/421555</f>
        <v>0</v>
      </c>
      <c r="J23" s="8">
        <v>1669</v>
      </c>
      <c r="K23" s="11">
        <f t="shared" ref="K23:K36" si="12">(J23-1669)/1669</f>
        <v>0</v>
      </c>
    </row>
    <row r="24" spans="1:11" x14ac:dyDescent="0.25">
      <c r="A24" s="15" t="s">
        <v>61</v>
      </c>
      <c r="B24" s="15">
        <v>1.5</v>
      </c>
      <c r="C24" s="15">
        <v>6</v>
      </c>
      <c r="D24" s="1">
        <v>1.053364</v>
      </c>
      <c r="E24" s="11">
        <f t="shared" si="0"/>
        <v>9.3715503495644809E-3</v>
      </c>
      <c r="F24" s="8">
        <v>766192</v>
      </c>
      <c r="G24" s="11">
        <f t="shared" si="11"/>
        <v>0</v>
      </c>
      <c r="H24" s="8">
        <v>421555</v>
      </c>
      <c r="I24" s="11">
        <f t="shared" ref="I24:I26" si="13">(H24-421555)/421555</f>
        <v>0</v>
      </c>
      <c r="J24" s="8">
        <v>1669</v>
      </c>
      <c r="K24" s="11">
        <f t="shared" si="12"/>
        <v>0</v>
      </c>
    </row>
    <row r="25" spans="1:11" x14ac:dyDescent="0.25">
      <c r="A25" s="15" t="s">
        <v>61</v>
      </c>
      <c r="B25" s="15">
        <v>2</v>
      </c>
      <c r="C25" s="15">
        <v>6</v>
      </c>
      <c r="D25" s="1">
        <v>1.0649090000000001</v>
      </c>
      <c r="E25" s="11">
        <f t="shared" si="0"/>
        <v>2.04343876487183E-2</v>
      </c>
      <c r="F25" s="8">
        <v>766192</v>
      </c>
      <c r="G25" s="11">
        <f t="shared" si="11"/>
        <v>0</v>
      </c>
      <c r="H25" s="8">
        <v>421555</v>
      </c>
      <c r="I25" s="11">
        <f t="shared" si="13"/>
        <v>0</v>
      </c>
      <c r="J25" s="8">
        <v>1669</v>
      </c>
      <c r="K25" s="11">
        <f t="shared" si="12"/>
        <v>0</v>
      </c>
    </row>
    <row r="26" spans="1:11" x14ac:dyDescent="0.25">
      <c r="A26" s="15" t="s">
        <v>61</v>
      </c>
      <c r="B26" s="15">
        <v>2.5</v>
      </c>
      <c r="C26" s="15">
        <v>6</v>
      </c>
      <c r="D26" s="1">
        <v>1.078946</v>
      </c>
      <c r="E26" s="20">
        <f t="shared" si="0"/>
        <v>3.3885149638169895E-2</v>
      </c>
      <c r="F26" s="8">
        <v>852472</v>
      </c>
      <c r="G26" s="20">
        <f t="shared" si="11"/>
        <v>0.11260885000104412</v>
      </c>
      <c r="H26" s="8">
        <v>384880</v>
      </c>
      <c r="I26" s="20">
        <f t="shared" si="13"/>
        <v>-8.6999323931634065E-2</v>
      </c>
      <c r="J26" s="8">
        <v>1669</v>
      </c>
      <c r="K26" s="20">
        <f t="shared" si="12"/>
        <v>0</v>
      </c>
    </row>
    <row r="27" spans="1:11" s="18" customFormat="1" x14ac:dyDescent="0.25">
      <c r="A27" s="16" t="s">
        <v>62</v>
      </c>
      <c r="B27" s="16">
        <v>0.5</v>
      </c>
      <c r="C27" s="16">
        <v>6</v>
      </c>
      <c r="D27" s="17">
        <v>1.037207</v>
      </c>
      <c r="E27" s="21">
        <f t="shared" si="0"/>
        <v>-6.1106724518582853E-3</v>
      </c>
      <c r="F27" s="22">
        <v>750868</v>
      </c>
      <c r="G27" s="21">
        <f>(F27-766192)/766192</f>
        <v>-2.0000208824942051E-2</v>
      </c>
      <c r="H27" s="16">
        <v>462453</v>
      </c>
      <c r="I27" s="21">
        <f>(H27-421555)/421555</f>
        <v>9.7016996595936475E-2</v>
      </c>
      <c r="J27" s="18">
        <v>1669</v>
      </c>
      <c r="K27" s="21">
        <f>(J27-1669)/1669</f>
        <v>0</v>
      </c>
    </row>
    <row r="28" spans="1:11" s="18" customFormat="1" x14ac:dyDescent="0.25">
      <c r="A28" s="16" t="s">
        <v>62</v>
      </c>
      <c r="B28" s="16">
        <v>1</v>
      </c>
      <c r="C28" s="16">
        <v>6</v>
      </c>
      <c r="D28" s="17">
        <v>1.0435840000000001</v>
      </c>
      <c r="E28" s="19">
        <f t="shared" si="0"/>
        <v>0</v>
      </c>
      <c r="F28" s="22">
        <v>766192</v>
      </c>
      <c r="G28" s="19">
        <f t="shared" ref="G28:G31" si="14">(F28-766192)/766192</f>
        <v>0</v>
      </c>
      <c r="H28" s="18">
        <v>421555</v>
      </c>
      <c r="I28" s="19">
        <f>(H28-421555)/421555</f>
        <v>0</v>
      </c>
      <c r="J28" s="18">
        <v>1669</v>
      </c>
      <c r="K28" s="19">
        <f t="shared" ref="K28:K31" si="15">(J28-1669)/1669</f>
        <v>0</v>
      </c>
    </row>
    <row r="29" spans="1:11" s="18" customFormat="1" x14ac:dyDescent="0.25">
      <c r="A29" s="16" t="s">
        <v>62</v>
      </c>
      <c r="B29" s="16">
        <v>1.5</v>
      </c>
      <c r="C29" s="16">
        <v>6</v>
      </c>
      <c r="D29" s="17">
        <v>1.043623</v>
      </c>
      <c r="E29" s="19">
        <f t="shared" si="0"/>
        <v>3.7371213050315283E-5</v>
      </c>
      <c r="F29" s="22">
        <v>766192</v>
      </c>
      <c r="G29" s="19">
        <f t="shared" si="14"/>
        <v>0</v>
      </c>
      <c r="H29" s="18">
        <v>421555</v>
      </c>
      <c r="I29" s="19">
        <f t="shared" ref="I29:I31" si="16">(H29-421555)/421555</f>
        <v>0</v>
      </c>
      <c r="J29" s="18">
        <v>1669</v>
      </c>
      <c r="K29" s="19">
        <f t="shared" si="15"/>
        <v>0</v>
      </c>
    </row>
    <row r="30" spans="1:11" s="18" customFormat="1" x14ac:dyDescent="0.25">
      <c r="A30" s="16" t="s">
        <v>62</v>
      </c>
      <c r="B30" s="16">
        <v>2</v>
      </c>
      <c r="C30" s="16">
        <v>6</v>
      </c>
      <c r="D30" s="17">
        <v>1.043658</v>
      </c>
      <c r="E30" s="19">
        <f t="shared" si="0"/>
        <v>7.0909481172485843E-5</v>
      </c>
      <c r="F30" s="22">
        <v>766192</v>
      </c>
      <c r="G30" s="19">
        <f t="shared" si="14"/>
        <v>0</v>
      </c>
      <c r="H30" s="18">
        <v>421555</v>
      </c>
      <c r="I30" s="19">
        <f t="shared" si="16"/>
        <v>0</v>
      </c>
      <c r="J30" s="18">
        <v>1516</v>
      </c>
      <c r="K30" s="19">
        <f t="shared" si="15"/>
        <v>-9.1671659676452966E-2</v>
      </c>
    </row>
    <row r="31" spans="1:11" s="18" customFormat="1" x14ac:dyDescent="0.25">
      <c r="A31" s="16" t="s">
        <v>62</v>
      </c>
      <c r="B31" s="16">
        <v>2.5</v>
      </c>
      <c r="C31" s="16">
        <v>6</v>
      </c>
      <c r="D31" s="17">
        <v>1.0476890000000001</v>
      </c>
      <c r="E31" s="21">
        <f t="shared" si="0"/>
        <v>3.9335597326137861E-3</v>
      </c>
      <c r="F31" s="22">
        <v>766192</v>
      </c>
      <c r="G31" s="21">
        <f t="shared" si="14"/>
        <v>0</v>
      </c>
      <c r="H31" s="18">
        <v>421555</v>
      </c>
      <c r="I31" s="21">
        <f t="shared" si="16"/>
        <v>0</v>
      </c>
      <c r="J31" s="18">
        <v>1516</v>
      </c>
      <c r="K31" s="21">
        <f t="shared" si="15"/>
        <v>-9.1671659676452966E-2</v>
      </c>
    </row>
    <row r="32" spans="1:11" x14ac:dyDescent="0.25">
      <c r="A32" s="15" t="s">
        <v>63</v>
      </c>
      <c r="B32" s="15">
        <v>0.5</v>
      </c>
      <c r="C32" s="15">
        <v>6</v>
      </c>
      <c r="D32" s="1">
        <v>1.0435840000000001</v>
      </c>
      <c r="E32" s="11">
        <f t="shared" si="0"/>
        <v>0</v>
      </c>
      <c r="F32" s="8">
        <v>766192</v>
      </c>
      <c r="G32" s="20">
        <f>(F32-766192)/766192</f>
        <v>0</v>
      </c>
      <c r="H32" s="8">
        <v>421555</v>
      </c>
      <c r="I32" s="20">
        <f>(H32-421555)/421555</f>
        <v>0</v>
      </c>
      <c r="J32" s="8">
        <v>1669</v>
      </c>
      <c r="K32" s="20">
        <f>(J32-1669)/1669</f>
        <v>0</v>
      </c>
    </row>
    <row r="33" spans="1:11" x14ac:dyDescent="0.25">
      <c r="A33" s="15" t="s">
        <v>63</v>
      </c>
      <c r="B33" s="15">
        <v>1</v>
      </c>
      <c r="C33" s="15">
        <v>6</v>
      </c>
      <c r="D33" s="1">
        <v>1.0435840000000001</v>
      </c>
      <c r="E33" s="11">
        <f t="shared" si="0"/>
        <v>0</v>
      </c>
      <c r="F33" s="8">
        <v>766192</v>
      </c>
      <c r="G33" s="11">
        <f t="shared" ref="G33:G36" si="17">(F33-766192)/766192</f>
        <v>0</v>
      </c>
      <c r="H33" s="8">
        <v>421555</v>
      </c>
      <c r="I33" s="11">
        <f>(H33-421555)/421555</f>
        <v>0</v>
      </c>
      <c r="J33" s="8">
        <v>1669</v>
      </c>
      <c r="K33" s="11">
        <f t="shared" si="12"/>
        <v>0</v>
      </c>
    </row>
    <row r="34" spans="1:11" x14ac:dyDescent="0.25">
      <c r="A34" s="15" t="s">
        <v>63</v>
      </c>
      <c r="B34" s="15">
        <v>1.5</v>
      </c>
      <c r="C34" s="15">
        <v>6</v>
      </c>
      <c r="D34" s="1">
        <v>1.0435840000000001</v>
      </c>
      <c r="E34" s="11">
        <f t="shared" si="0"/>
        <v>0</v>
      </c>
      <c r="F34" s="8">
        <v>766192</v>
      </c>
      <c r="G34" s="11">
        <f t="shared" si="17"/>
        <v>0</v>
      </c>
      <c r="H34" s="8">
        <v>421555</v>
      </c>
      <c r="I34" s="11">
        <f t="shared" ref="I34:I36" si="18">(H34-421555)/421555</f>
        <v>0</v>
      </c>
      <c r="J34" s="8">
        <v>1669</v>
      </c>
      <c r="K34" s="11">
        <f t="shared" si="12"/>
        <v>0</v>
      </c>
    </row>
    <row r="35" spans="1:11" x14ac:dyDescent="0.25">
      <c r="A35" s="15" t="s">
        <v>63</v>
      </c>
      <c r="B35" s="15">
        <v>2</v>
      </c>
      <c r="C35" s="15">
        <v>6</v>
      </c>
      <c r="D35" s="1">
        <v>1.0435840000000001</v>
      </c>
      <c r="E35" s="11">
        <f t="shared" si="0"/>
        <v>0</v>
      </c>
      <c r="F35" s="8">
        <v>766192</v>
      </c>
      <c r="G35" s="11">
        <f t="shared" si="17"/>
        <v>0</v>
      </c>
      <c r="H35" s="8">
        <v>421555</v>
      </c>
      <c r="I35" s="11">
        <f t="shared" si="18"/>
        <v>0</v>
      </c>
      <c r="J35" s="8">
        <v>1669</v>
      </c>
      <c r="K35" s="11">
        <f t="shared" si="12"/>
        <v>0</v>
      </c>
    </row>
    <row r="36" spans="1:11" x14ac:dyDescent="0.25">
      <c r="A36" s="15" t="s">
        <v>63</v>
      </c>
      <c r="B36" s="15">
        <v>2.5</v>
      </c>
      <c r="C36" s="15">
        <v>6</v>
      </c>
      <c r="D36" s="1">
        <v>1.0435840000000001</v>
      </c>
      <c r="E36" s="11">
        <f t="shared" si="0"/>
        <v>0</v>
      </c>
      <c r="F36" s="8">
        <v>766192</v>
      </c>
      <c r="G36" s="20">
        <f t="shared" si="17"/>
        <v>0</v>
      </c>
      <c r="H36" s="8">
        <v>421555</v>
      </c>
      <c r="I36" s="20">
        <f t="shared" si="18"/>
        <v>0</v>
      </c>
      <c r="J36" s="8">
        <v>1669</v>
      </c>
      <c r="K36" s="20">
        <f t="shared" si="12"/>
        <v>0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11FE9-811D-4884-B0B8-E1CD62753C01}">
  <dimension ref="A1:H93"/>
  <sheetViews>
    <sheetView workbookViewId="0">
      <selection activeCell="I22" sqref="I22"/>
    </sheetView>
  </sheetViews>
  <sheetFormatPr defaultRowHeight="14" x14ac:dyDescent="0.25"/>
  <cols>
    <col min="2" max="2" width="40.6328125" customWidth="1"/>
    <col min="3" max="3" width="14.90625" customWidth="1"/>
    <col min="4" max="4" width="21.08984375" customWidth="1"/>
    <col min="5" max="5" width="32.90625" customWidth="1"/>
    <col min="6" max="6" width="23.453125" customWidth="1"/>
    <col min="7" max="7" width="35.26953125" customWidth="1"/>
  </cols>
  <sheetData>
    <row r="1" spans="1:8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5"/>
    </row>
    <row r="2" spans="1:8" x14ac:dyDescent="0.25">
      <c r="A2" s="5" t="s">
        <v>24</v>
      </c>
      <c r="B2" s="5" t="s">
        <v>25</v>
      </c>
      <c r="C2" s="5">
        <v>0.25</v>
      </c>
      <c r="D2" s="5">
        <v>0.05</v>
      </c>
      <c r="E2" s="5">
        <v>7</v>
      </c>
      <c r="F2" s="5">
        <v>80007405.861734703</v>
      </c>
      <c r="G2" s="5">
        <v>0.80007405861734704</v>
      </c>
      <c r="H2" s="5"/>
    </row>
    <row r="3" spans="1:8" x14ac:dyDescent="0.25">
      <c r="A3" s="5" t="s">
        <v>24</v>
      </c>
      <c r="B3" s="5" t="s">
        <v>25</v>
      </c>
      <c r="C3" s="5">
        <v>0.25</v>
      </c>
      <c r="D3" s="5">
        <v>0.1</v>
      </c>
      <c r="E3" s="5">
        <v>6</v>
      </c>
      <c r="F3" s="5">
        <v>80002104.614642307</v>
      </c>
      <c r="G3" s="5">
        <v>0.800021046146423</v>
      </c>
      <c r="H3" s="5"/>
    </row>
    <row r="4" spans="1:8" x14ac:dyDescent="0.25">
      <c r="A4" s="5" t="s">
        <v>24</v>
      </c>
      <c r="B4" s="5" t="s">
        <v>25</v>
      </c>
      <c r="C4" s="5">
        <v>0.25</v>
      </c>
      <c r="D4" s="5">
        <v>0.2</v>
      </c>
      <c r="E4" s="5">
        <v>6</v>
      </c>
      <c r="F4" s="5">
        <v>80052722.155381605</v>
      </c>
      <c r="G4" s="5">
        <v>0.80052722155381595</v>
      </c>
      <c r="H4" s="5"/>
    </row>
    <row r="5" spans="1:8" x14ac:dyDescent="0.25">
      <c r="A5" s="5" t="s">
        <v>24</v>
      </c>
      <c r="B5" s="5" t="s">
        <v>25</v>
      </c>
      <c r="C5" s="5">
        <v>0.25</v>
      </c>
      <c r="D5" s="5">
        <v>0.4</v>
      </c>
      <c r="E5" s="5">
        <v>6</v>
      </c>
      <c r="F5" s="5">
        <v>80054246.955409303</v>
      </c>
      <c r="G5" s="5">
        <v>0.80054246955409303</v>
      </c>
      <c r="H5" s="5"/>
    </row>
    <row r="6" spans="1:8" x14ac:dyDescent="0.25">
      <c r="A6" s="5" t="s">
        <v>24</v>
      </c>
      <c r="B6" s="5" t="s">
        <v>25</v>
      </c>
      <c r="C6" s="5">
        <v>0.25</v>
      </c>
      <c r="D6" s="5">
        <v>0.8</v>
      </c>
      <c r="E6" s="5">
        <v>6</v>
      </c>
      <c r="F6" s="5">
        <v>80004423.256427601</v>
      </c>
      <c r="G6" s="5">
        <v>0.80004423256427604</v>
      </c>
      <c r="H6" s="5"/>
    </row>
    <row r="7" spans="1:8" x14ac:dyDescent="0.25">
      <c r="A7" s="5" t="s">
        <v>24</v>
      </c>
      <c r="B7" s="5" t="s">
        <v>25</v>
      </c>
      <c r="C7" s="5">
        <v>0.25</v>
      </c>
      <c r="D7" s="5">
        <v>1.6</v>
      </c>
      <c r="E7" s="5">
        <v>6</v>
      </c>
      <c r="F7" s="5">
        <v>81300068.521783397</v>
      </c>
      <c r="G7" s="5">
        <v>0.81300068521783397</v>
      </c>
      <c r="H7" s="5"/>
    </row>
    <row r="8" spans="1:8" x14ac:dyDescent="0.25">
      <c r="A8" s="5" t="s">
        <v>24</v>
      </c>
      <c r="B8" s="5" t="s">
        <v>25</v>
      </c>
      <c r="C8" s="5">
        <v>0.25</v>
      </c>
      <c r="D8" s="5">
        <v>3.2</v>
      </c>
      <c r="E8" s="5">
        <v>6</v>
      </c>
      <c r="F8" s="5">
        <v>83018461.239097804</v>
      </c>
      <c r="G8" s="5">
        <v>0.83018461239097796</v>
      </c>
      <c r="H8" s="5"/>
    </row>
    <row r="9" spans="1:8" x14ac:dyDescent="0.25">
      <c r="A9" s="5" t="s">
        <v>24</v>
      </c>
      <c r="B9" s="5" t="s">
        <v>25</v>
      </c>
      <c r="C9" s="5">
        <v>0.25</v>
      </c>
      <c r="D9" s="5">
        <v>6.4</v>
      </c>
      <c r="E9" s="5">
        <v>6</v>
      </c>
      <c r="F9" s="5">
        <v>83520678.366134897</v>
      </c>
      <c r="G9" s="5">
        <v>0.83520678366134904</v>
      </c>
      <c r="H9" s="5"/>
    </row>
    <row r="10" spans="1:8" x14ac:dyDescent="0.25">
      <c r="A10" s="5" t="s">
        <v>24</v>
      </c>
      <c r="B10" s="5" t="s">
        <v>25</v>
      </c>
      <c r="C10" s="5">
        <v>0.25</v>
      </c>
      <c r="D10" s="5">
        <v>12.8</v>
      </c>
      <c r="E10" s="5">
        <v>6</v>
      </c>
      <c r="F10" s="5">
        <v>83728754.685652703</v>
      </c>
      <c r="G10" s="5">
        <v>0.83728754685652695</v>
      </c>
      <c r="H10" s="5"/>
    </row>
    <row r="11" spans="1:8" x14ac:dyDescent="0.25">
      <c r="A11" s="5" t="s">
        <v>24</v>
      </c>
      <c r="B11" s="5" t="s">
        <v>25</v>
      </c>
      <c r="C11" s="5">
        <v>0.5</v>
      </c>
      <c r="D11" s="5">
        <v>0.05</v>
      </c>
      <c r="E11" s="5">
        <v>6</v>
      </c>
      <c r="F11" s="5">
        <v>87647147.041040897</v>
      </c>
      <c r="G11" s="5">
        <v>0.87647147041040896</v>
      </c>
      <c r="H11" s="5"/>
    </row>
    <row r="12" spans="1:8" x14ac:dyDescent="0.25">
      <c r="A12" s="5" t="s">
        <v>24</v>
      </c>
      <c r="B12" s="5" t="s">
        <v>25</v>
      </c>
      <c r="C12" s="5">
        <v>0.5</v>
      </c>
      <c r="D12" s="5">
        <v>0.1</v>
      </c>
      <c r="E12" s="5">
        <v>6</v>
      </c>
      <c r="F12" s="5">
        <v>87638751.5753593</v>
      </c>
      <c r="G12" s="5">
        <v>0.87638751575359297</v>
      </c>
      <c r="H12" s="5"/>
    </row>
    <row r="13" spans="1:8" x14ac:dyDescent="0.25">
      <c r="A13" s="5" t="s">
        <v>24</v>
      </c>
      <c r="B13" s="5" t="s">
        <v>25</v>
      </c>
      <c r="C13" s="5">
        <v>0.5</v>
      </c>
      <c r="D13" s="5">
        <v>0.2</v>
      </c>
      <c r="E13" s="5">
        <v>6</v>
      </c>
      <c r="F13" s="5">
        <v>87380211.312797606</v>
      </c>
      <c r="G13" s="5">
        <v>0.87380211312797595</v>
      </c>
      <c r="H13" s="5"/>
    </row>
    <row r="14" spans="1:8" x14ac:dyDescent="0.25">
      <c r="A14" s="5" t="s">
        <v>24</v>
      </c>
      <c r="B14" s="5" t="s">
        <v>25</v>
      </c>
      <c r="C14" s="5">
        <v>0.5</v>
      </c>
      <c r="D14" s="5">
        <v>0.4</v>
      </c>
      <c r="E14" s="5">
        <v>6</v>
      </c>
      <c r="F14" s="5">
        <v>87332957.295659602</v>
      </c>
      <c r="G14" s="5">
        <v>0.87332957295659597</v>
      </c>
      <c r="H14" s="5"/>
    </row>
    <row r="15" spans="1:8" x14ac:dyDescent="0.25">
      <c r="A15" s="5" t="s">
        <v>24</v>
      </c>
      <c r="B15" s="5" t="s">
        <v>25</v>
      </c>
      <c r="C15" s="5">
        <v>0.5</v>
      </c>
      <c r="D15" s="5">
        <v>0.8</v>
      </c>
      <c r="E15" s="5">
        <v>6</v>
      </c>
      <c r="F15" s="5">
        <v>87787127.143192306</v>
      </c>
      <c r="G15" s="5">
        <v>0.87787127143192301</v>
      </c>
      <c r="H15" s="5"/>
    </row>
    <row r="16" spans="1:8" x14ac:dyDescent="0.25">
      <c r="A16" s="5" t="s">
        <v>24</v>
      </c>
      <c r="B16" s="5" t="s">
        <v>25</v>
      </c>
      <c r="C16" s="5">
        <v>0.5</v>
      </c>
      <c r="D16" s="5">
        <v>1.6</v>
      </c>
      <c r="E16" s="5">
        <v>6</v>
      </c>
      <c r="F16" s="5">
        <v>89265986.475749999</v>
      </c>
      <c r="G16" s="5">
        <v>0.89265986475750003</v>
      </c>
      <c r="H16" s="5"/>
    </row>
    <row r="17" spans="1:8" x14ac:dyDescent="0.25">
      <c r="A17" s="5" t="s">
        <v>24</v>
      </c>
      <c r="B17" s="5" t="s">
        <v>25</v>
      </c>
      <c r="C17" s="5">
        <v>0.5</v>
      </c>
      <c r="D17" s="5">
        <v>3.2</v>
      </c>
      <c r="E17" s="5">
        <v>6</v>
      </c>
      <c r="F17" s="5">
        <v>90960993.743992999</v>
      </c>
      <c r="G17" s="5">
        <v>0.90960993743993002</v>
      </c>
      <c r="H17" s="5"/>
    </row>
    <row r="18" spans="1:8" x14ac:dyDescent="0.25">
      <c r="A18" s="5" t="s">
        <v>24</v>
      </c>
      <c r="B18" s="5" t="s">
        <v>25</v>
      </c>
      <c r="C18" s="5">
        <v>0.5</v>
      </c>
      <c r="D18" s="5">
        <v>6.4</v>
      </c>
      <c r="E18" s="5">
        <v>6</v>
      </c>
      <c r="F18" s="5">
        <v>91528428.350946799</v>
      </c>
      <c r="G18" s="5">
        <v>0.915284283509468</v>
      </c>
      <c r="H18" s="5"/>
    </row>
    <row r="19" spans="1:8" x14ac:dyDescent="0.25">
      <c r="A19" s="5" t="s">
        <v>24</v>
      </c>
      <c r="B19" s="5" t="s">
        <v>25</v>
      </c>
      <c r="C19" s="5">
        <v>0.5</v>
      </c>
      <c r="D19" s="5">
        <v>12.8</v>
      </c>
      <c r="E19" s="5">
        <v>6</v>
      </c>
      <c r="F19" s="5">
        <v>92087247.863255605</v>
      </c>
      <c r="G19" s="5">
        <v>0.92087247863255595</v>
      </c>
      <c r="H19" s="5"/>
    </row>
    <row r="20" spans="1:8" x14ac:dyDescent="0.25">
      <c r="A20" s="5" t="s">
        <v>24</v>
      </c>
      <c r="B20" s="5" t="s">
        <v>25</v>
      </c>
      <c r="C20" s="5">
        <v>1</v>
      </c>
      <c r="D20" s="5">
        <v>0.05</v>
      </c>
      <c r="E20" s="5">
        <v>6</v>
      </c>
      <c r="F20" s="5">
        <v>103175623.23562101</v>
      </c>
      <c r="G20" s="5">
        <v>1.0317562323562099</v>
      </c>
      <c r="H20" s="5"/>
    </row>
    <row r="21" spans="1:8" x14ac:dyDescent="0.25">
      <c r="A21" s="5" t="s">
        <v>24</v>
      </c>
      <c r="B21" s="5" t="s">
        <v>25</v>
      </c>
      <c r="C21" s="5">
        <v>1</v>
      </c>
      <c r="D21" s="5">
        <v>0.1</v>
      </c>
      <c r="E21" s="5">
        <v>6</v>
      </c>
      <c r="F21" s="5">
        <v>103223779.163414</v>
      </c>
      <c r="G21" s="5">
        <v>1.0322377916341401</v>
      </c>
      <c r="H21" s="5"/>
    </row>
    <row r="22" spans="1:8" x14ac:dyDescent="0.25">
      <c r="A22" s="5" t="s">
        <v>24</v>
      </c>
      <c r="B22" s="5" t="s">
        <v>25</v>
      </c>
      <c r="C22" s="5">
        <v>1</v>
      </c>
      <c r="D22" s="5">
        <v>0.2</v>
      </c>
      <c r="E22" s="5">
        <v>6</v>
      </c>
      <c r="F22" s="5">
        <v>102861027.53106999</v>
      </c>
      <c r="G22" s="5">
        <v>1.0286102753107</v>
      </c>
      <c r="H22" s="5"/>
    </row>
    <row r="23" spans="1:8" x14ac:dyDescent="0.25">
      <c r="A23" s="5" t="s">
        <v>24</v>
      </c>
      <c r="B23" s="5" t="s">
        <v>25</v>
      </c>
      <c r="C23" s="5">
        <v>1</v>
      </c>
      <c r="D23" s="5">
        <v>0.4</v>
      </c>
      <c r="E23" s="5">
        <v>6</v>
      </c>
      <c r="F23" s="5">
        <v>103339264.54185601</v>
      </c>
      <c r="G23" s="5">
        <v>1.03339264541856</v>
      </c>
      <c r="H23" s="5"/>
    </row>
    <row r="24" spans="1:8" x14ac:dyDescent="0.25">
      <c r="A24" s="5" t="s">
        <v>24</v>
      </c>
      <c r="B24" s="5" t="s">
        <v>25</v>
      </c>
      <c r="C24" s="5">
        <v>1</v>
      </c>
      <c r="D24" s="5">
        <v>0.8</v>
      </c>
      <c r="E24" s="5">
        <v>6</v>
      </c>
      <c r="F24" s="5">
        <v>103554437.67264</v>
      </c>
      <c r="G24" s="5">
        <v>1.0355443767264001</v>
      </c>
      <c r="H24" s="5"/>
    </row>
    <row r="25" spans="1:8" x14ac:dyDescent="0.25">
      <c r="A25" s="5" t="s">
        <v>24</v>
      </c>
      <c r="B25" s="5" t="s">
        <v>25</v>
      </c>
      <c r="C25" s="5">
        <v>1</v>
      </c>
      <c r="D25" s="5">
        <v>1.6</v>
      </c>
      <c r="E25" s="5">
        <v>6</v>
      </c>
      <c r="F25" s="5">
        <v>105438360.234254</v>
      </c>
      <c r="G25" s="5">
        <v>1.0543836023425399</v>
      </c>
      <c r="H25" s="5"/>
    </row>
    <row r="26" spans="1:8" x14ac:dyDescent="0.25">
      <c r="A26" s="5" t="s">
        <v>24</v>
      </c>
      <c r="B26" s="5" t="s">
        <v>25</v>
      </c>
      <c r="C26" s="5">
        <v>1</v>
      </c>
      <c r="D26" s="5">
        <v>3.2</v>
      </c>
      <c r="E26" s="5">
        <v>6</v>
      </c>
      <c r="F26" s="5">
        <v>107267508.451619</v>
      </c>
      <c r="G26" s="5">
        <v>1.0726750845161901</v>
      </c>
      <c r="H26" s="5"/>
    </row>
    <row r="27" spans="1:8" x14ac:dyDescent="0.25">
      <c r="A27" s="5" t="s">
        <v>24</v>
      </c>
      <c r="B27" s="5" t="s">
        <v>25</v>
      </c>
      <c r="C27" s="5">
        <v>1</v>
      </c>
      <c r="D27" s="5">
        <v>6.4</v>
      </c>
      <c r="E27" s="5">
        <v>6</v>
      </c>
      <c r="F27" s="5">
        <v>108331332.18104599</v>
      </c>
      <c r="G27" s="5">
        <v>1.08331332181046</v>
      </c>
      <c r="H27" s="5"/>
    </row>
    <row r="28" spans="1:8" x14ac:dyDescent="0.25">
      <c r="A28" s="5" t="s">
        <v>24</v>
      </c>
      <c r="B28" s="5" t="s">
        <v>25</v>
      </c>
      <c r="C28" s="5">
        <v>1</v>
      </c>
      <c r="D28" s="5">
        <v>12.8</v>
      </c>
      <c r="E28" s="5">
        <v>6</v>
      </c>
      <c r="F28" s="5">
        <v>109072816.070204</v>
      </c>
      <c r="G28" s="5">
        <v>1.09072816070204</v>
      </c>
      <c r="H28" s="5"/>
    </row>
    <row r="29" spans="1:8" x14ac:dyDescent="0.25">
      <c r="A29" s="5" t="s">
        <v>24</v>
      </c>
      <c r="B29" s="5" t="s">
        <v>25</v>
      </c>
      <c r="C29" s="5">
        <v>2</v>
      </c>
      <c r="D29" s="5">
        <v>0.05</v>
      </c>
      <c r="E29" s="5">
        <v>6</v>
      </c>
      <c r="F29" s="5">
        <v>115278769.732933</v>
      </c>
      <c r="G29" s="5">
        <v>1.1527876973293301</v>
      </c>
      <c r="H29" s="5"/>
    </row>
    <row r="30" spans="1:8" x14ac:dyDescent="0.25">
      <c r="A30" s="5" t="s">
        <v>24</v>
      </c>
      <c r="B30" s="5" t="s">
        <v>25</v>
      </c>
      <c r="C30" s="5">
        <v>2</v>
      </c>
      <c r="D30" s="5">
        <v>0.1</v>
      </c>
      <c r="E30" s="5">
        <v>6</v>
      </c>
      <c r="F30" s="5">
        <v>115528471.10577001</v>
      </c>
      <c r="G30" s="5">
        <v>1.1552847110577</v>
      </c>
      <c r="H30" s="5"/>
    </row>
    <row r="31" spans="1:8" x14ac:dyDescent="0.25">
      <c r="A31" s="5" t="s">
        <v>24</v>
      </c>
      <c r="B31" s="5" t="s">
        <v>25</v>
      </c>
      <c r="C31" s="5">
        <v>2</v>
      </c>
      <c r="D31" s="5">
        <v>0.2</v>
      </c>
      <c r="E31" s="5">
        <v>6</v>
      </c>
      <c r="F31" s="5">
        <v>115109915.80682801</v>
      </c>
      <c r="G31" s="5">
        <v>1.1510991580682799</v>
      </c>
      <c r="H31" s="5"/>
    </row>
    <row r="32" spans="1:8" x14ac:dyDescent="0.25">
      <c r="A32" s="5" t="s">
        <v>24</v>
      </c>
      <c r="B32" s="5" t="s">
        <v>25</v>
      </c>
      <c r="C32" s="5">
        <v>2</v>
      </c>
      <c r="D32" s="5">
        <v>0.4</v>
      </c>
      <c r="E32" s="5">
        <v>6</v>
      </c>
      <c r="F32" s="5">
        <v>115165964.49765401</v>
      </c>
      <c r="G32" s="5">
        <v>1.1516596449765499</v>
      </c>
      <c r="H32" s="5"/>
    </row>
    <row r="33" spans="1:8" x14ac:dyDescent="0.25">
      <c r="A33" s="5" t="s">
        <v>24</v>
      </c>
      <c r="B33" s="5" t="s">
        <v>25</v>
      </c>
      <c r="C33" s="5">
        <v>2</v>
      </c>
      <c r="D33" s="5">
        <v>0.8</v>
      </c>
      <c r="E33" s="5">
        <v>6</v>
      </c>
      <c r="F33" s="5">
        <v>115818185.67933699</v>
      </c>
      <c r="G33" s="5">
        <v>1.1581818567933699</v>
      </c>
      <c r="H33" s="5"/>
    </row>
    <row r="34" spans="1:8" x14ac:dyDescent="0.25">
      <c r="A34" s="5" t="s">
        <v>24</v>
      </c>
      <c r="B34" s="5" t="s">
        <v>25</v>
      </c>
      <c r="C34" s="5">
        <v>2</v>
      </c>
      <c r="D34" s="5">
        <v>1.6</v>
      </c>
      <c r="E34" s="5">
        <v>6</v>
      </c>
      <c r="F34" s="5">
        <v>117484297.333643</v>
      </c>
      <c r="G34" s="5">
        <v>1.1748429733364301</v>
      </c>
      <c r="H34" s="5"/>
    </row>
    <row r="35" spans="1:8" x14ac:dyDescent="0.25">
      <c r="A35" s="5" t="s">
        <v>24</v>
      </c>
      <c r="B35" s="5" t="s">
        <v>25</v>
      </c>
      <c r="C35" s="5">
        <v>2</v>
      </c>
      <c r="D35" s="5">
        <v>3.2</v>
      </c>
      <c r="E35" s="5">
        <v>6</v>
      </c>
      <c r="F35" s="5">
        <v>119996448.764357</v>
      </c>
      <c r="G35" s="5">
        <v>1.19996448764357</v>
      </c>
      <c r="H35" s="5"/>
    </row>
    <row r="36" spans="1:8" x14ac:dyDescent="0.25">
      <c r="A36" s="5" t="s">
        <v>24</v>
      </c>
      <c r="B36" s="5" t="s">
        <v>25</v>
      </c>
      <c r="C36" s="5">
        <v>2</v>
      </c>
      <c r="D36" s="5">
        <v>6.4</v>
      </c>
      <c r="E36" s="5">
        <v>6</v>
      </c>
      <c r="F36" s="5">
        <v>121511476.23200899</v>
      </c>
      <c r="G36" s="5">
        <v>1.21511476232009</v>
      </c>
      <c r="H36" s="5"/>
    </row>
    <row r="37" spans="1:8" x14ac:dyDescent="0.25">
      <c r="A37" s="5" t="s">
        <v>24</v>
      </c>
      <c r="B37" s="5" t="s">
        <v>25</v>
      </c>
      <c r="C37" s="5">
        <v>2</v>
      </c>
      <c r="D37" s="5">
        <v>12.8</v>
      </c>
      <c r="E37" s="5">
        <v>6</v>
      </c>
      <c r="F37" s="5">
        <v>123492804.011501</v>
      </c>
      <c r="G37" s="5">
        <v>1.23492804011501</v>
      </c>
      <c r="H37" s="5"/>
    </row>
    <row r="38" spans="1:8" x14ac:dyDescent="0.25">
      <c r="A38" s="5" t="s">
        <v>26</v>
      </c>
      <c r="B38" s="5" t="s">
        <v>27</v>
      </c>
      <c r="C38" s="5">
        <v>0.25</v>
      </c>
      <c r="D38" s="5">
        <v>0.05</v>
      </c>
      <c r="E38" s="5">
        <v>6</v>
      </c>
      <c r="F38" s="5">
        <v>83219210.7909161</v>
      </c>
      <c r="G38" s="5">
        <v>0.83219210790916098</v>
      </c>
      <c r="H38" s="5"/>
    </row>
    <row r="39" spans="1:8" x14ac:dyDescent="0.25">
      <c r="A39" s="5" t="s">
        <v>26</v>
      </c>
      <c r="B39" s="5" t="s">
        <v>27</v>
      </c>
      <c r="C39" s="5">
        <v>0.25</v>
      </c>
      <c r="D39" s="5">
        <v>0.1</v>
      </c>
      <c r="E39" s="5">
        <v>6</v>
      </c>
      <c r="F39" s="5">
        <v>82969126.888383806</v>
      </c>
      <c r="G39" s="5">
        <v>0.82969126888383804</v>
      </c>
      <c r="H39" s="5"/>
    </row>
    <row r="40" spans="1:8" x14ac:dyDescent="0.25">
      <c r="A40" s="5" t="s">
        <v>26</v>
      </c>
      <c r="B40" s="5" t="s">
        <v>27</v>
      </c>
      <c r="C40" s="5">
        <v>0.25</v>
      </c>
      <c r="D40" s="5">
        <v>0.2</v>
      </c>
      <c r="E40" s="5">
        <v>6</v>
      </c>
      <c r="F40" s="5">
        <v>81968379.585675403</v>
      </c>
      <c r="G40" s="5">
        <v>0.81968379585675399</v>
      </c>
      <c r="H40" s="5"/>
    </row>
    <row r="41" spans="1:8" x14ac:dyDescent="0.25">
      <c r="A41" s="5" t="s">
        <v>26</v>
      </c>
      <c r="B41" s="5" t="s">
        <v>27</v>
      </c>
      <c r="C41" s="5">
        <v>0.25</v>
      </c>
      <c r="D41" s="5">
        <v>0.4</v>
      </c>
      <c r="E41" s="5">
        <v>6</v>
      </c>
      <c r="F41" s="5">
        <v>80669823.852617994</v>
      </c>
      <c r="G41" s="5">
        <v>0.80669823852617994</v>
      </c>
      <c r="H41" s="5"/>
    </row>
    <row r="42" spans="1:8" x14ac:dyDescent="0.25">
      <c r="A42" s="5" t="s">
        <v>26</v>
      </c>
      <c r="B42" s="5" t="s">
        <v>27</v>
      </c>
      <c r="C42" s="5">
        <v>0.25</v>
      </c>
      <c r="D42" s="5">
        <v>0.8</v>
      </c>
      <c r="E42" s="5">
        <v>6</v>
      </c>
      <c r="F42" s="5">
        <v>80578370.409732297</v>
      </c>
      <c r="G42" s="5">
        <v>0.80578370409732303</v>
      </c>
      <c r="H42" s="5"/>
    </row>
    <row r="43" spans="1:8" x14ac:dyDescent="0.25">
      <c r="A43" s="5" t="s">
        <v>26</v>
      </c>
      <c r="B43" s="5" t="s">
        <v>27</v>
      </c>
      <c r="C43" s="5">
        <v>0.25</v>
      </c>
      <c r="D43" s="5">
        <v>1.6</v>
      </c>
      <c r="E43" s="5">
        <v>6</v>
      </c>
      <c r="F43" s="5">
        <v>80579507.612099797</v>
      </c>
      <c r="G43" s="5">
        <v>0.80579507612099799</v>
      </c>
      <c r="H43" s="5"/>
    </row>
    <row r="44" spans="1:8" x14ac:dyDescent="0.25">
      <c r="A44" s="5" t="s">
        <v>26</v>
      </c>
      <c r="B44" s="5" t="s">
        <v>27</v>
      </c>
      <c r="C44" s="5">
        <v>0.25</v>
      </c>
      <c r="D44" s="5">
        <v>3.2</v>
      </c>
      <c r="E44" s="5">
        <v>6</v>
      </c>
      <c r="F44" s="5">
        <v>80585729.239295393</v>
      </c>
      <c r="G44" s="5">
        <v>0.80585729239295401</v>
      </c>
      <c r="H44" s="5"/>
    </row>
    <row r="45" spans="1:8" x14ac:dyDescent="0.25">
      <c r="A45" s="5" t="s">
        <v>26</v>
      </c>
      <c r="B45" s="5" t="s">
        <v>27</v>
      </c>
      <c r="C45" s="5">
        <v>0.25</v>
      </c>
      <c r="D45" s="5">
        <v>6.4</v>
      </c>
      <c r="E45" s="5">
        <v>6</v>
      </c>
      <c r="F45" s="5">
        <v>80582901.705492005</v>
      </c>
      <c r="G45" s="5">
        <v>0.80582901705492005</v>
      </c>
      <c r="H45" s="5"/>
    </row>
    <row r="46" spans="1:8" x14ac:dyDescent="0.25">
      <c r="A46" s="5" t="s">
        <v>26</v>
      </c>
      <c r="B46" s="5" t="s">
        <v>27</v>
      </c>
      <c r="C46" s="5">
        <v>0.25</v>
      </c>
      <c r="D46" s="5">
        <v>12.8</v>
      </c>
      <c r="E46" s="5">
        <v>6</v>
      </c>
      <c r="F46" s="5">
        <v>80360071.1996997</v>
      </c>
      <c r="G46" s="5">
        <v>0.80360071199699701</v>
      </c>
      <c r="H46" s="5"/>
    </row>
    <row r="47" spans="1:8" x14ac:dyDescent="0.25">
      <c r="A47" s="5" t="s">
        <v>26</v>
      </c>
      <c r="B47" s="5" t="s">
        <v>27</v>
      </c>
      <c r="C47" s="5">
        <v>0.5</v>
      </c>
      <c r="D47" s="5">
        <v>0.05</v>
      </c>
      <c r="E47" s="5">
        <v>7</v>
      </c>
      <c r="F47" s="5">
        <v>92603094.945083693</v>
      </c>
      <c r="G47" s="5">
        <v>0.92603094945083697</v>
      </c>
      <c r="H47" s="5"/>
    </row>
    <row r="48" spans="1:8" x14ac:dyDescent="0.25">
      <c r="A48" s="5" t="s">
        <v>26</v>
      </c>
      <c r="B48" s="5" t="s">
        <v>27</v>
      </c>
      <c r="C48" s="5">
        <v>0.5</v>
      </c>
      <c r="D48" s="5">
        <v>0.1</v>
      </c>
      <c r="E48" s="5">
        <v>6</v>
      </c>
      <c r="F48" s="5">
        <v>90936650.687073007</v>
      </c>
      <c r="G48" s="5">
        <v>0.90936650687072995</v>
      </c>
      <c r="H48" s="5"/>
    </row>
    <row r="49" spans="1:8" x14ac:dyDescent="0.25">
      <c r="A49" s="5" t="s">
        <v>26</v>
      </c>
      <c r="B49" s="5" t="s">
        <v>27</v>
      </c>
      <c r="C49" s="5">
        <v>0.5</v>
      </c>
      <c r="D49" s="5">
        <v>0.2</v>
      </c>
      <c r="E49" s="5">
        <v>6</v>
      </c>
      <c r="F49" s="5">
        <v>90018006.509373605</v>
      </c>
      <c r="G49" s="5">
        <v>0.90018006509373605</v>
      </c>
      <c r="H49" s="5"/>
    </row>
    <row r="50" spans="1:8" x14ac:dyDescent="0.25">
      <c r="A50" s="5" t="s">
        <v>26</v>
      </c>
      <c r="B50" s="5" t="s">
        <v>27</v>
      </c>
      <c r="C50" s="5">
        <v>0.5</v>
      </c>
      <c r="D50" s="5">
        <v>0.4</v>
      </c>
      <c r="E50" s="5">
        <v>6</v>
      </c>
      <c r="F50" s="5">
        <v>88864754.885847107</v>
      </c>
      <c r="G50" s="5">
        <v>0.88864754885847097</v>
      </c>
      <c r="H50" s="5"/>
    </row>
    <row r="51" spans="1:8" x14ac:dyDescent="0.25">
      <c r="A51" s="5" t="s">
        <v>26</v>
      </c>
      <c r="B51" s="5" t="s">
        <v>27</v>
      </c>
      <c r="C51" s="5">
        <v>0.5</v>
      </c>
      <c r="D51" s="5">
        <v>0.8</v>
      </c>
      <c r="E51" s="5">
        <v>6</v>
      </c>
      <c r="F51" s="5">
        <v>88581662.485238701</v>
      </c>
      <c r="G51" s="5">
        <v>0.88581662485238699</v>
      </c>
      <c r="H51" s="5"/>
    </row>
    <row r="52" spans="1:8" x14ac:dyDescent="0.25">
      <c r="A52" s="5" t="s">
        <v>26</v>
      </c>
      <c r="B52" s="5" t="s">
        <v>27</v>
      </c>
      <c r="C52" s="5">
        <v>0.5</v>
      </c>
      <c r="D52" s="5">
        <v>1.6</v>
      </c>
      <c r="E52" s="5">
        <v>6</v>
      </c>
      <c r="F52" s="5">
        <v>88280520.501660198</v>
      </c>
      <c r="G52" s="5">
        <v>0.88280520501660198</v>
      </c>
      <c r="H52" s="5"/>
    </row>
    <row r="53" spans="1:8" x14ac:dyDescent="0.25">
      <c r="A53" s="5" t="s">
        <v>26</v>
      </c>
      <c r="B53" s="5" t="s">
        <v>27</v>
      </c>
      <c r="C53" s="5">
        <v>0.5</v>
      </c>
      <c r="D53" s="5">
        <v>3.2</v>
      </c>
      <c r="E53" s="5">
        <v>6</v>
      </c>
      <c r="F53" s="5">
        <v>88453617.135698795</v>
      </c>
      <c r="G53" s="5">
        <v>0.88453617135698803</v>
      </c>
      <c r="H53" s="5"/>
    </row>
    <row r="54" spans="1:8" x14ac:dyDescent="0.25">
      <c r="A54" s="5" t="s">
        <v>26</v>
      </c>
      <c r="B54" s="5" t="s">
        <v>27</v>
      </c>
      <c r="C54" s="5">
        <v>0.5</v>
      </c>
      <c r="D54" s="5">
        <v>6.4</v>
      </c>
      <c r="E54" s="5">
        <v>6</v>
      </c>
      <c r="F54" s="5">
        <v>88130466.490018904</v>
      </c>
      <c r="G54" s="5">
        <v>0.88130466490018899</v>
      </c>
      <c r="H54" s="5"/>
    </row>
    <row r="55" spans="1:8" x14ac:dyDescent="0.25">
      <c r="A55" s="5" t="s">
        <v>26</v>
      </c>
      <c r="B55" s="5" t="s">
        <v>27</v>
      </c>
      <c r="C55" s="5">
        <v>0.5</v>
      </c>
      <c r="D55" s="5">
        <v>12.8</v>
      </c>
      <c r="E55" s="5">
        <v>6</v>
      </c>
      <c r="F55" s="5">
        <v>88444576.5172645</v>
      </c>
      <c r="G55" s="5">
        <v>0.88444576517264595</v>
      </c>
      <c r="H55" s="5"/>
    </row>
    <row r="56" spans="1:8" x14ac:dyDescent="0.25">
      <c r="A56" s="5" t="s">
        <v>26</v>
      </c>
      <c r="B56" s="5" t="s">
        <v>27</v>
      </c>
      <c r="C56" s="5">
        <v>1</v>
      </c>
      <c r="D56" s="5">
        <v>0.05</v>
      </c>
      <c r="E56" s="5">
        <v>8</v>
      </c>
      <c r="F56" s="5">
        <v>112724764.08582699</v>
      </c>
      <c r="G56" s="5">
        <v>1.1272476408582699</v>
      </c>
      <c r="H56" s="5"/>
    </row>
    <row r="57" spans="1:8" x14ac:dyDescent="0.25">
      <c r="A57" s="5" t="s">
        <v>26</v>
      </c>
      <c r="B57" s="5" t="s">
        <v>27</v>
      </c>
      <c r="C57" s="5">
        <v>1</v>
      </c>
      <c r="D57" s="5">
        <v>0.1</v>
      </c>
      <c r="E57" s="5">
        <v>7</v>
      </c>
      <c r="F57" s="5">
        <v>112216079.17881399</v>
      </c>
      <c r="G57" s="5">
        <v>1.12216079178814</v>
      </c>
      <c r="H57" s="5"/>
    </row>
    <row r="58" spans="1:8" x14ac:dyDescent="0.25">
      <c r="A58" s="5" t="s">
        <v>26</v>
      </c>
      <c r="B58" s="5" t="s">
        <v>27</v>
      </c>
      <c r="C58" s="5">
        <v>1</v>
      </c>
      <c r="D58" s="5">
        <v>0.2</v>
      </c>
      <c r="E58" s="5">
        <v>7</v>
      </c>
      <c r="F58" s="5">
        <v>108527274.191496</v>
      </c>
      <c r="G58" s="5">
        <v>1.0852727419149599</v>
      </c>
      <c r="H58" s="5"/>
    </row>
    <row r="59" spans="1:8" x14ac:dyDescent="0.25">
      <c r="A59" s="5" t="s">
        <v>26</v>
      </c>
      <c r="B59" s="5" t="s">
        <v>27</v>
      </c>
      <c r="C59" s="5">
        <v>1</v>
      </c>
      <c r="D59" s="5">
        <v>0.4</v>
      </c>
      <c r="E59" s="5">
        <v>6</v>
      </c>
      <c r="F59" s="5">
        <v>104913615.82707299</v>
      </c>
      <c r="G59" s="5">
        <v>1.0491361582707299</v>
      </c>
      <c r="H59" s="5"/>
    </row>
    <row r="60" spans="1:8" x14ac:dyDescent="0.25">
      <c r="A60" s="5" t="s">
        <v>26</v>
      </c>
      <c r="B60" s="5" t="s">
        <v>27</v>
      </c>
      <c r="C60" s="5">
        <v>1</v>
      </c>
      <c r="D60" s="5">
        <v>0.8</v>
      </c>
      <c r="E60" s="5">
        <v>6</v>
      </c>
      <c r="F60" s="5">
        <v>103859698.536217</v>
      </c>
      <c r="G60" s="5">
        <v>1.0385969853621699</v>
      </c>
      <c r="H60" s="5"/>
    </row>
    <row r="61" spans="1:8" x14ac:dyDescent="0.25">
      <c r="A61" s="5" t="s">
        <v>26</v>
      </c>
      <c r="B61" s="5" t="s">
        <v>27</v>
      </c>
      <c r="C61" s="5">
        <v>1</v>
      </c>
      <c r="D61" s="5">
        <v>1.6</v>
      </c>
      <c r="E61" s="5">
        <v>6</v>
      </c>
      <c r="F61" s="5">
        <v>103993152.588099</v>
      </c>
      <c r="G61" s="5">
        <v>1.03993152588099</v>
      </c>
      <c r="H61" s="5"/>
    </row>
    <row r="62" spans="1:8" x14ac:dyDescent="0.25">
      <c r="A62" s="5" t="s">
        <v>26</v>
      </c>
      <c r="B62" s="5" t="s">
        <v>27</v>
      </c>
      <c r="C62" s="5">
        <v>1</v>
      </c>
      <c r="D62" s="5">
        <v>3.2</v>
      </c>
      <c r="E62" s="5">
        <v>6</v>
      </c>
      <c r="F62" s="5">
        <v>104123749.46482401</v>
      </c>
      <c r="G62" s="5">
        <v>1.0412374946482399</v>
      </c>
      <c r="H62" s="5"/>
    </row>
    <row r="63" spans="1:8" x14ac:dyDescent="0.25">
      <c r="A63" s="5" t="s">
        <v>26</v>
      </c>
      <c r="B63" s="5" t="s">
        <v>27</v>
      </c>
      <c r="C63" s="5">
        <v>1</v>
      </c>
      <c r="D63" s="5">
        <v>6.4</v>
      </c>
      <c r="E63" s="5">
        <v>6</v>
      </c>
      <c r="F63" s="5">
        <v>103801053.477198</v>
      </c>
      <c r="G63" s="5">
        <v>1.0380105347719799</v>
      </c>
      <c r="H63" s="5"/>
    </row>
    <row r="64" spans="1:8" x14ac:dyDescent="0.25">
      <c r="A64" s="5" t="s">
        <v>26</v>
      </c>
      <c r="B64" s="5" t="s">
        <v>27</v>
      </c>
      <c r="C64" s="5">
        <v>1</v>
      </c>
      <c r="D64" s="5">
        <v>12.8</v>
      </c>
      <c r="E64" s="5">
        <v>6</v>
      </c>
      <c r="F64" s="5">
        <v>104278694.03509399</v>
      </c>
      <c r="G64" s="5">
        <v>1.04278694035094</v>
      </c>
      <c r="H64" s="5"/>
    </row>
    <row r="65" spans="1:8" x14ac:dyDescent="0.25">
      <c r="A65" s="5" t="s">
        <v>26</v>
      </c>
      <c r="B65" s="5" t="s">
        <v>27</v>
      </c>
      <c r="C65" s="5">
        <v>2</v>
      </c>
      <c r="D65" s="5">
        <v>0.05</v>
      </c>
      <c r="E65" s="5">
        <v>9</v>
      </c>
      <c r="F65" s="5">
        <v>130388367.964232</v>
      </c>
      <c r="G65" s="5">
        <v>1.3038836796423099</v>
      </c>
      <c r="H65" s="5"/>
    </row>
    <row r="66" spans="1:8" x14ac:dyDescent="0.25">
      <c r="A66" s="5" t="s">
        <v>26</v>
      </c>
      <c r="B66" s="5" t="s">
        <v>27</v>
      </c>
      <c r="C66" s="5">
        <v>2</v>
      </c>
      <c r="D66" s="5">
        <v>0.1</v>
      </c>
      <c r="E66" s="5">
        <v>9</v>
      </c>
      <c r="F66" s="5">
        <v>128653439.938627</v>
      </c>
      <c r="G66" s="5">
        <v>1.2865343993862699</v>
      </c>
      <c r="H66" s="5"/>
    </row>
    <row r="67" spans="1:8" x14ac:dyDescent="0.25">
      <c r="A67" s="5" t="s">
        <v>26</v>
      </c>
      <c r="B67" s="5" t="s">
        <v>27</v>
      </c>
      <c r="C67" s="5">
        <v>2</v>
      </c>
      <c r="D67" s="5">
        <v>0.2</v>
      </c>
      <c r="E67" s="5">
        <v>8</v>
      </c>
      <c r="F67" s="5">
        <v>124384734.826961</v>
      </c>
      <c r="G67" s="5">
        <v>1.24384734826961</v>
      </c>
      <c r="H67" s="5"/>
    </row>
    <row r="68" spans="1:8" x14ac:dyDescent="0.25">
      <c r="A68" s="5" t="s">
        <v>26</v>
      </c>
      <c r="B68" s="5" t="s">
        <v>27</v>
      </c>
      <c r="C68" s="5">
        <v>2</v>
      </c>
      <c r="D68" s="5">
        <v>0.4</v>
      </c>
      <c r="E68" s="5">
        <v>6</v>
      </c>
      <c r="F68" s="5">
        <v>117351815.299833</v>
      </c>
      <c r="G68" s="5">
        <v>1.1735181529983301</v>
      </c>
      <c r="H68" s="5"/>
    </row>
    <row r="69" spans="1:8" x14ac:dyDescent="0.25">
      <c r="A69" s="5" t="s">
        <v>26</v>
      </c>
      <c r="B69" s="5" t="s">
        <v>27</v>
      </c>
      <c r="C69" s="5">
        <v>2</v>
      </c>
      <c r="D69" s="5">
        <v>0.8</v>
      </c>
      <c r="E69" s="5">
        <v>6</v>
      </c>
      <c r="F69" s="5">
        <v>116449032.013032</v>
      </c>
      <c r="G69" s="5">
        <v>1.1644903201303201</v>
      </c>
      <c r="H69" s="5"/>
    </row>
    <row r="70" spans="1:8" x14ac:dyDescent="0.25">
      <c r="A70" s="5" t="s">
        <v>26</v>
      </c>
      <c r="B70" s="5" t="s">
        <v>27</v>
      </c>
      <c r="C70" s="5">
        <v>2</v>
      </c>
      <c r="D70" s="5">
        <v>1.6</v>
      </c>
      <c r="E70" s="5">
        <v>6</v>
      </c>
      <c r="F70" s="5">
        <v>116406340.80452999</v>
      </c>
      <c r="G70" s="5">
        <v>1.1640634080453001</v>
      </c>
      <c r="H70" s="5"/>
    </row>
    <row r="71" spans="1:8" x14ac:dyDescent="0.25">
      <c r="A71" s="5" t="s">
        <v>26</v>
      </c>
      <c r="B71" s="5" t="s">
        <v>27</v>
      </c>
      <c r="C71" s="5">
        <v>2</v>
      </c>
      <c r="D71" s="5">
        <v>3.2</v>
      </c>
      <c r="E71" s="5">
        <v>6</v>
      </c>
      <c r="F71" s="5">
        <v>116411232.514644</v>
      </c>
      <c r="G71" s="5">
        <v>1.16411232514644</v>
      </c>
      <c r="H71" s="5"/>
    </row>
    <row r="72" spans="1:8" x14ac:dyDescent="0.25">
      <c r="A72" s="5" t="s">
        <v>26</v>
      </c>
      <c r="B72" s="5" t="s">
        <v>27</v>
      </c>
      <c r="C72" s="5">
        <v>2</v>
      </c>
      <c r="D72" s="5">
        <v>6.4</v>
      </c>
      <c r="E72" s="5">
        <v>6</v>
      </c>
      <c r="F72" s="5">
        <v>116598055.470534</v>
      </c>
      <c r="G72" s="5">
        <v>1.1659805547053399</v>
      </c>
      <c r="H72" s="5"/>
    </row>
    <row r="73" spans="1:8" x14ac:dyDescent="0.25">
      <c r="A73" s="5" t="s">
        <v>26</v>
      </c>
      <c r="B73" s="5" t="s">
        <v>27</v>
      </c>
      <c r="C73" s="5">
        <v>2</v>
      </c>
      <c r="D73" s="5">
        <v>12.8</v>
      </c>
      <c r="E73" s="5">
        <v>6</v>
      </c>
      <c r="F73" s="5">
        <v>116465021.973003</v>
      </c>
      <c r="G73" s="5">
        <v>1.1646502197300299</v>
      </c>
      <c r="H73" s="5"/>
    </row>
    <row r="74" spans="1:8" x14ac:dyDescent="0.25">
      <c r="A74" s="5" t="s">
        <v>28</v>
      </c>
      <c r="B74" s="5" t="s">
        <v>29</v>
      </c>
      <c r="C74" s="5">
        <v>0.25</v>
      </c>
      <c r="D74" s="5">
        <v>0</v>
      </c>
      <c r="E74" s="5">
        <v>4</v>
      </c>
      <c r="F74" s="5">
        <v>79024435.757873699</v>
      </c>
      <c r="G74" s="5">
        <v>0.79024435757873701</v>
      </c>
      <c r="H74" s="5"/>
    </row>
    <row r="75" spans="1:8" x14ac:dyDescent="0.25">
      <c r="A75" s="5" t="s">
        <v>28</v>
      </c>
      <c r="B75" s="5" t="s">
        <v>29</v>
      </c>
      <c r="C75" s="5">
        <v>0.25</v>
      </c>
      <c r="D75" s="5">
        <v>1</v>
      </c>
      <c r="E75" s="5">
        <v>4</v>
      </c>
      <c r="F75" s="5">
        <v>79196676.771839797</v>
      </c>
      <c r="G75" s="5">
        <v>0.79196676771839802</v>
      </c>
      <c r="H75" s="5"/>
    </row>
    <row r="76" spans="1:8" x14ac:dyDescent="0.25">
      <c r="A76" s="5" t="s">
        <v>28</v>
      </c>
      <c r="B76" s="5" t="s">
        <v>29</v>
      </c>
      <c r="C76" s="5">
        <v>0.25</v>
      </c>
      <c r="D76" s="5">
        <v>2</v>
      </c>
      <c r="E76" s="5">
        <v>6</v>
      </c>
      <c r="F76" s="5">
        <v>80488598.515414193</v>
      </c>
      <c r="G76" s="5">
        <v>0.804885985154142</v>
      </c>
      <c r="H76" s="5"/>
    </row>
    <row r="77" spans="1:8" x14ac:dyDescent="0.25">
      <c r="A77" s="5" t="s">
        <v>28</v>
      </c>
      <c r="B77" s="5" t="s">
        <v>29</v>
      </c>
      <c r="C77" s="5">
        <v>0.25</v>
      </c>
      <c r="D77" s="5">
        <v>3</v>
      </c>
      <c r="E77" s="5">
        <v>7</v>
      </c>
      <c r="F77" s="5">
        <v>81818149.688471198</v>
      </c>
      <c r="G77" s="5">
        <v>0.81818149688471198</v>
      </c>
      <c r="H77" s="5"/>
    </row>
    <row r="78" spans="1:8" x14ac:dyDescent="0.25">
      <c r="A78" s="5" t="s">
        <v>28</v>
      </c>
      <c r="B78" s="5" t="s">
        <v>29</v>
      </c>
      <c r="C78" s="5">
        <v>0.25</v>
      </c>
      <c r="D78" s="5">
        <v>4</v>
      </c>
      <c r="E78" s="5">
        <v>7</v>
      </c>
      <c r="F78" s="5">
        <v>83130791.140940905</v>
      </c>
      <c r="G78" s="5">
        <v>0.83130791140940896</v>
      </c>
      <c r="H78" s="5"/>
    </row>
    <row r="79" spans="1:8" x14ac:dyDescent="0.25">
      <c r="A79" s="5" t="s">
        <v>28</v>
      </c>
      <c r="B79" s="5" t="s">
        <v>29</v>
      </c>
      <c r="C79" s="5">
        <v>0.5</v>
      </c>
      <c r="D79" s="5">
        <v>0</v>
      </c>
      <c r="E79" s="5">
        <v>4</v>
      </c>
      <c r="F79" s="5">
        <v>85441225.920261696</v>
      </c>
      <c r="G79" s="5">
        <v>0.85441225920261699</v>
      </c>
      <c r="H79" s="5"/>
    </row>
    <row r="80" spans="1:8" x14ac:dyDescent="0.25">
      <c r="A80" s="5" t="s">
        <v>28</v>
      </c>
      <c r="B80" s="5" t="s">
        <v>29</v>
      </c>
      <c r="C80" s="5">
        <v>0.5</v>
      </c>
      <c r="D80" s="5">
        <v>1</v>
      </c>
      <c r="E80" s="5">
        <v>4</v>
      </c>
      <c r="F80" s="5">
        <v>85803522.528779194</v>
      </c>
      <c r="G80" s="5">
        <v>0.85803522528779197</v>
      </c>
      <c r="H80" s="5"/>
    </row>
    <row r="81" spans="1:8" x14ac:dyDescent="0.25">
      <c r="A81" s="5" t="s">
        <v>28</v>
      </c>
      <c r="B81" s="5" t="s">
        <v>29</v>
      </c>
      <c r="C81" s="5">
        <v>0.5</v>
      </c>
      <c r="D81" s="5">
        <v>2</v>
      </c>
      <c r="E81" s="5">
        <v>6</v>
      </c>
      <c r="F81" s="5">
        <v>88443308.075656399</v>
      </c>
      <c r="G81" s="5">
        <v>0.88443308075656402</v>
      </c>
      <c r="H81" s="5"/>
    </row>
    <row r="82" spans="1:8" x14ac:dyDescent="0.25">
      <c r="A82" s="5" t="s">
        <v>28</v>
      </c>
      <c r="B82" s="5" t="s">
        <v>29</v>
      </c>
      <c r="C82" s="5">
        <v>0.5</v>
      </c>
      <c r="D82" s="5">
        <v>3</v>
      </c>
      <c r="E82" s="5">
        <v>7</v>
      </c>
      <c r="F82" s="5">
        <v>90383541.101691201</v>
      </c>
      <c r="G82" s="5">
        <v>0.903835411016912</v>
      </c>
      <c r="H82" s="5"/>
    </row>
    <row r="83" spans="1:8" x14ac:dyDescent="0.25">
      <c r="A83" s="5" t="s">
        <v>28</v>
      </c>
      <c r="B83" s="5" t="s">
        <v>29</v>
      </c>
      <c r="C83" s="5">
        <v>0.5</v>
      </c>
      <c r="D83" s="5">
        <v>4</v>
      </c>
      <c r="E83" s="5">
        <v>7</v>
      </c>
      <c r="F83" s="5">
        <v>91764543.030343994</v>
      </c>
      <c r="G83" s="5">
        <v>0.91764543030344004</v>
      </c>
      <c r="H83" s="5"/>
    </row>
    <row r="84" spans="1:8" x14ac:dyDescent="0.25">
      <c r="A84" s="5" t="s">
        <v>28</v>
      </c>
      <c r="B84" s="5" t="s">
        <v>29</v>
      </c>
      <c r="C84" s="5">
        <v>1</v>
      </c>
      <c r="D84" s="5">
        <v>0</v>
      </c>
      <c r="E84" s="5">
        <v>4</v>
      </c>
      <c r="F84" s="5">
        <v>98566032.962483302</v>
      </c>
      <c r="G84" s="5">
        <v>0.98566032962483296</v>
      </c>
      <c r="H84" s="5"/>
    </row>
    <row r="85" spans="1:8" x14ac:dyDescent="0.25">
      <c r="A85" s="5" t="s">
        <v>28</v>
      </c>
      <c r="B85" s="5" t="s">
        <v>29</v>
      </c>
      <c r="C85" s="5">
        <v>1</v>
      </c>
      <c r="D85" s="5">
        <v>1</v>
      </c>
      <c r="E85" s="5">
        <v>4</v>
      </c>
      <c r="F85" s="5">
        <v>98705126.216764897</v>
      </c>
      <c r="G85" s="5">
        <v>0.98705126216764905</v>
      </c>
      <c r="H85" s="5"/>
    </row>
    <row r="86" spans="1:8" x14ac:dyDescent="0.25">
      <c r="A86" s="5" t="s">
        <v>28</v>
      </c>
      <c r="B86" s="5" t="s">
        <v>29</v>
      </c>
      <c r="C86" s="5">
        <v>1</v>
      </c>
      <c r="D86" s="5">
        <v>2</v>
      </c>
      <c r="E86" s="5">
        <v>6</v>
      </c>
      <c r="F86" s="5">
        <v>104358399.80983</v>
      </c>
      <c r="G86" s="5">
        <v>1.0435839980982999</v>
      </c>
      <c r="H86" s="5"/>
    </row>
    <row r="87" spans="1:8" x14ac:dyDescent="0.25">
      <c r="A87" s="5" t="s">
        <v>28</v>
      </c>
      <c r="B87" s="5" t="s">
        <v>29</v>
      </c>
      <c r="C87" s="5">
        <v>1</v>
      </c>
      <c r="D87" s="5">
        <v>3</v>
      </c>
      <c r="E87" s="5">
        <v>8</v>
      </c>
      <c r="F87" s="5">
        <v>109423277.541987</v>
      </c>
      <c r="G87" s="5">
        <v>1.09423277541987</v>
      </c>
      <c r="H87" s="5"/>
    </row>
    <row r="88" spans="1:8" x14ac:dyDescent="0.25">
      <c r="A88" s="5" t="s">
        <v>28</v>
      </c>
      <c r="B88" s="5" t="s">
        <v>29</v>
      </c>
      <c r="C88" s="5">
        <v>1</v>
      </c>
      <c r="D88" s="5">
        <v>4</v>
      </c>
      <c r="E88" s="5">
        <v>9</v>
      </c>
      <c r="F88" s="5">
        <v>113197792.407639</v>
      </c>
      <c r="G88" s="5">
        <v>1.1319779240763901</v>
      </c>
      <c r="H88" s="5"/>
    </row>
    <row r="89" spans="1:8" x14ac:dyDescent="0.25">
      <c r="A89" s="5" t="s">
        <v>28</v>
      </c>
      <c r="B89" s="5" t="s">
        <v>29</v>
      </c>
      <c r="C89" s="5">
        <v>2</v>
      </c>
      <c r="D89" s="5">
        <v>0</v>
      </c>
      <c r="E89" s="5">
        <v>4</v>
      </c>
      <c r="F89" s="5">
        <v>111077813.881906</v>
      </c>
      <c r="G89" s="5">
        <v>1.1107781388190601</v>
      </c>
      <c r="H89" s="5"/>
    </row>
    <row r="90" spans="1:8" x14ac:dyDescent="0.25">
      <c r="A90" s="5" t="s">
        <v>28</v>
      </c>
      <c r="B90" s="5" t="s">
        <v>29</v>
      </c>
      <c r="C90" s="5">
        <v>2</v>
      </c>
      <c r="D90" s="5">
        <v>1</v>
      </c>
      <c r="E90" s="5">
        <v>4</v>
      </c>
      <c r="F90" s="5">
        <v>111144291.43962599</v>
      </c>
      <c r="G90" s="5">
        <v>1.1114429143962601</v>
      </c>
      <c r="H90" s="5"/>
    </row>
    <row r="91" spans="1:8" x14ac:dyDescent="0.25">
      <c r="A91" s="5" t="s">
        <v>28</v>
      </c>
      <c r="B91" s="5" t="s">
        <v>29</v>
      </c>
      <c r="C91" s="5">
        <v>2</v>
      </c>
      <c r="D91" s="5">
        <v>2</v>
      </c>
      <c r="E91" s="5">
        <v>6</v>
      </c>
      <c r="F91" s="5">
        <v>116412307.959501</v>
      </c>
      <c r="G91" s="5">
        <v>1.1641230795950099</v>
      </c>
      <c r="H91" s="5"/>
    </row>
    <row r="92" spans="1:8" x14ac:dyDescent="0.25">
      <c r="A92" s="5" t="s">
        <v>28</v>
      </c>
      <c r="B92" s="5" t="s">
        <v>29</v>
      </c>
      <c r="C92" s="5">
        <v>2</v>
      </c>
      <c r="D92" s="5">
        <v>3</v>
      </c>
      <c r="E92" s="5">
        <v>8</v>
      </c>
      <c r="F92" s="5">
        <v>122366265.68486699</v>
      </c>
      <c r="G92" s="5">
        <v>1.2236626568486699</v>
      </c>
      <c r="H92" s="5"/>
    </row>
    <row r="93" spans="1:8" x14ac:dyDescent="0.25">
      <c r="A93" s="5" t="s">
        <v>28</v>
      </c>
      <c r="B93" s="5" t="s">
        <v>29</v>
      </c>
      <c r="C93" s="5">
        <v>2</v>
      </c>
      <c r="D93" s="5">
        <v>4</v>
      </c>
      <c r="E93" s="5">
        <v>9</v>
      </c>
      <c r="F93" s="5">
        <v>127804282.258452</v>
      </c>
      <c r="G93" s="5">
        <v>1.27804282258452</v>
      </c>
      <c r="H93" s="5"/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FF883-B783-416B-B1A1-E09166B3FA0D}">
  <dimension ref="A1:V171"/>
  <sheetViews>
    <sheetView tabSelected="1" topLeftCell="A133" workbookViewId="0">
      <selection activeCell="E148" sqref="E148"/>
    </sheetView>
  </sheetViews>
  <sheetFormatPr defaultRowHeight="14" x14ac:dyDescent="0.25"/>
  <cols>
    <col min="1" max="1" width="14.453125" customWidth="1"/>
    <col min="9" max="9" width="9.26953125" bestFit="1" customWidth="1"/>
    <col min="11" max="11" width="9.26953125" bestFit="1" customWidth="1"/>
    <col min="13" max="13" width="9.26953125" bestFit="1" customWidth="1"/>
    <col min="14" max="14" width="11.36328125" bestFit="1" customWidth="1"/>
    <col min="15" max="15" width="15.7265625" bestFit="1" customWidth="1"/>
    <col min="16" max="16" width="16.81640625" bestFit="1" customWidth="1"/>
    <col min="17" max="17" width="17.90625" bestFit="1" customWidth="1"/>
    <col min="18" max="18" width="21.08984375" bestFit="1" customWidth="1"/>
  </cols>
  <sheetData>
    <row r="1" spans="1:22" x14ac:dyDescent="0.25">
      <c r="I1" s="23" t="s">
        <v>46</v>
      </c>
      <c r="J1" s="24"/>
      <c r="K1" s="23" t="s">
        <v>51</v>
      </c>
      <c r="L1" s="24"/>
      <c r="M1" s="23" t="s">
        <v>30</v>
      </c>
      <c r="N1" s="24"/>
      <c r="O1" s="24" t="s">
        <v>44</v>
      </c>
      <c r="P1" s="24"/>
      <c r="Q1" s="24"/>
    </row>
    <row r="2" spans="1:22" x14ac:dyDescent="0.25">
      <c r="A2" t="s">
        <v>31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</v>
      </c>
      <c r="I2" t="s">
        <v>49</v>
      </c>
      <c r="J2" t="s">
        <v>37</v>
      </c>
      <c r="K2" t="s">
        <v>49</v>
      </c>
      <c r="L2" t="s">
        <v>37</v>
      </c>
      <c r="M2" t="s">
        <v>49</v>
      </c>
      <c r="N2" t="s">
        <v>37</v>
      </c>
      <c r="O2" t="s">
        <v>45</v>
      </c>
      <c r="P2" t="s">
        <v>47</v>
      </c>
      <c r="Q2" t="s">
        <v>48</v>
      </c>
    </row>
    <row r="3" spans="1:22" x14ac:dyDescent="0.25">
      <c r="A3">
        <v>1</v>
      </c>
      <c r="B3">
        <v>5</v>
      </c>
      <c r="C3">
        <v>10</v>
      </c>
      <c r="D3">
        <v>10</v>
      </c>
      <c r="E3">
        <v>10</v>
      </c>
      <c r="F3">
        <v>20</v>
      </c>
      <c r="G3">
        <v>45</v>
      </c>
      <c r="H3">
        <v>3</v>
      </c>
      <c r="I3" s="10">
        <v>62987600</v>
      </c>
      <c r="J3" s="11">
        <v>3.0000000000000001E-3</v>
      </c>
      <c r="K3" s="10">
        <v>62987600</v>
      </c>
      <c r="L3" s="11">
        <v>4.0000000000000001E-3</v>
      </c>
      <c r="M3" s="10">
        <v>62987600</v>
      </c>
      <c r="N3" s="11">
        <v>0</v>
      </c>
      <c r="O3" s="12">
        <v>10800</v>
      </c>
      <c r="P3" s="12">
        <v>19.899999999999999</v>
      </c>
      <c r="Q3" s="12">
        <v>165.2</v>
      </c>
      <c r="R3" s="13"/>
      <c r="S3" s="13"/>
      <c r="T3" s="13"/>
      <c r="U3" s="13"/>
      <c r="V3" s="13"/>
    </row>
    <row r="4" spans="1:22" x14ac:dyDescent="0.25">
      <c r="A4">
        <v>2</v>
      </c>
      <c r="B4">
        <v>5</v>
      </c>
      <c r="C4">
        <v>10</v>
      </c>
      <c r="D4">
        <v>10</v>
      </c>
      <c r="E4">
        <v>10</v>
      </c>
      <c r="F4">
        <v>20</v>
      </c>
      <c r="G4">
        <v>45</v>
      </c>
      <c r="H4">
        <v>5</v>
      </c>
      <c r="I4" s="10">
        <v>59492000</v>
      </c>
      <c r="J4" s="11">
        <v>2.9000000000000001E-2</v>
      </c>
      <c r="K4" s="10">
        <v>58452600</v>
      </c>
      <c r="L4" s="11">
        <v>8.0000000000000002E-3</v>
      </c>
      <c r="M4" s="10">
        <v>58548600</v>
      </c>
      <c r="N4" s="11">
        <v>4.0000000000000001E-3</v>
      </c>
      <c r="O4" s="12">
        <v>10800</v>
      </c>
      <c r="P4" s="12">
        <v>59</v>
      </c>
      <c r="Q4" s="12">
        <v>697.7</v>
      </c>
      <c r="R4" s="13"/>
      <c r="S4" s="13"/>
      <c r="T4" s="13"/>
      <c r="U4" s="13"/>
      <c r="V4" s="13"/>
    </row>
    <row r="5" spans="1:22" x14ac:dyDescent="0.25">
      <c r="A5">
        <v>3</v>
      </c>
      <c r="B5">
        <v>5</v>
      </c>
      <c r="C5">
        <v>10</v>
      </c>
      <c r="D5">
        <v>10</v>
      </c>
      <c r="E5">
        <v>10</v>
      </c>
      <c r="F5">
        <v>20</v>
      </c>
      <c r="G5">
        <v>45</v>
      </c>
      <c r="H5">
        <v>10</v>
      </c>
      <c r="I5" s="10">
        <v>63828000</v>
      </c>
      <c r="J5" s="11">
        <v>0.156</v>
      </c>
      <c r="K5" s="10">
        <v>55201700</v>
      </c>
      <c r="L5" s="11">
        <v>1.9E-2</v>
      </c>
      <c r="M5" s="10">
        <v>54527766</v>
      </c>
      <c r="N5" s="11">
        <v>3.0000000000000001E-3</v>
      </c>
      <c r="O5" s="12">
        <v>10800</v>
      </c>
      <c r="P5" s="12">
        <v>192.3</v>
      </c>
      <c r="Q5" s="12">
        <v>2792.2</v>
      </c>
      <c r="R5" s="13"/>
      <c r="S5" s="13"/>
      <c r="T5" s="13"/>
      <c r="U5" s="13"/>
      <c r="V5" s="13"/>
    </row>
    <row r="6" spans="1:22" x14ac:dyDescent="0.25">
      <c r="A6">
        <v>4</v>
      </c>
      <c r="B6">
        <v>5</v>
      </c>
      <c r="C6">
        <v>10</v>
      </c>
      <c r="D6">
        <v>10</v>
      </c>
      <c r="E6">
        <v>10</v>
      </c>
      <c r="F6">
        <v>20</v>
      </c>
      <c r="G6">
        <v>80</v>
      </c>
      <c r="H6">
        <v>3</v>
      </c>
      <c r="I6" s="10">
        <v>71958014</v>
      </c>
      <c r="J6" s="11">
        <v>5.0000000000000001E-3</v>
      </c>
      <c r="K6" s="10">
        <v>71805864</v>
      </c>
      <c r="L6" s="11">
        <v>4.0000000000000001E-3</v>
      </c>
      <c r="M6" s="10">
        <v>71822280</v>
      </c>
      <c r="N6" s="11">
        <v>0</v>
      </c>
      <c r="O6" s="12">
        <v>10800</v>
      </c>
      <c r="P6" s="12">
        <v>47.4</v>
      </c>
      <c r="Q6" s="12">
        <v>302.2</v>
      </c>
      <c r="R6" s="13"/>
      <c r="S6" s="13"/>
      <c r="T6" s="13"/>
      <c r="U6" s="13"/>
      <c r="V6" s="13"/>
    </row>
    <row r="7" spans="1:22" x14ac:dyDescent="0.25">
      <c r="A7">
        <v>5</v>
      </c>
      <c r="B7">
        <v>5</v>
      </c>
      <c r="C7">
        <v>10</v>
      </c>
      <c r="D7">
        <v>10</v>
      </c>
      <c r="E7">
        <v>10</v>
      </c>
      <c r="F7">
        <v>20</v>
      </c>
      <c r="G7">
        <v>80</v>
      </c>
      <c r="H7">
        <v>5</v>
      </c>
      <c r="I7" s="10">
        <v>75416308</v>
      </c>
      <c r="J7" s="11">
        <v>2.7E-2</v>
      </c>
      <c r="K7" s="10">
        <v>74234802</v>
      </c>
      <c r="L7" s="11">
        <v>8.0000000000000002E-3</v>
      </c>
      <c r="M7" s="10">
        <v>74234802</v>
      </c>
      <c r="N7" s="11">
        <v>3.0000000000000001E-3</v>
      </c>
      <c r="O7" s="12">
        <v>10800</v>
      </c>
      <c r="P7" s="12">
        <v>123.7</v>
      </c>
      <c r="Q7" s="12">
        <v>867.9</v>
      </c>
      <c r="R7" s="13"/>
      <c r="S7" s="13"/>
      <c r="T7" s="13"/>
      <c r="U7" s="13"/>
      <c r="V7" s="13"/>
    </row>
    <row r="8" spans="1:22" x14ac:dyDescent="0.25">
      <c r="A8">
        <v>6</v>
      </c>
      <c r="B8">
        <v>5</v>
      </c>
      <c r="C8">
        <v>10</v>
      </c>
      <c r="D8">
        <v>10</v>
      </c>
      <c r="E8">
        <v>10</v>
      </c>
      <c r="F8">
        <v>20</v>
      </c>
      <c r="G8">
        <v>80</v>
      </c>
      <c r="H8">
        <v>10</v>
      </c>
      <c r="I8" s="10">
        <v>85530013</v>
      </c>
      <c r="J8" s="11">
        <v>0.157</v>
      </c>
      <c r="K8" s="10">
        <v>73970278</v>
      </c>
      <c r="L8" s="11">
        <v>1.9E-2</v>
      </c>
      <c r="M8" s="10">
        <v>73157283</v>
      </c>
      <c r="N8" s="11">
        <v>5.0000000000000001E-3</v>
      </c>
      <c r="O8" s="12">
        <v>10800</v>
      </c>
      <c r="P8" s="12">
        <v>447</v>
      </c>
      <c r="Q8" s="12">
        <v>3762.4</v>
      </c>
      <c r="R8" s="13"/>
      <c r="S8" s="13"/>
      <c r="T8" s="13"/>
      <c r="U8" s="13"/>
      <c r="V8" s="13"/>
    </row>
    <row r="9" spans="1:22" x14ac:dyDescent="0.25">
      <c r="A9">
        <v>7</v>
      </c>
      <c r="B9">
        <v>5</v>
      </c>
      <c r="C9">
        <v>10</v>
      </c>
      <c r="D9">
        <v>10</v>
      </c>
      <c r="E9">
        <v>10</v>
      </c>
      <c r="F9">
        <v>30</v>
      </c>
      <c r="G9">
        <v>80</v>
      </c>
      <c r="H9">
        <v>3</v>
      </c>
      <c r="I9" s="10">
        <v>88862000</v>
      </c>
      <c r="J9" s="11">
        <v>1.7999999999999999E-2</v>
      </c>
      <c r="K9" s="10">
        <v>87603900</v>
      </c>
      <c r="L9" s="11">
        <v>4.0000000000000001E-3</v>
      </c>
      <c r="M9" s="10">
        <v>87603900</v>
      </c>
      <c r="N9" s="11">
        <v>0</v>
      </c>
      <c r="O9" s="12">
        <v>10800</v>
      </c>
      <c r="P9" s="12">
        <v>75.900000000000006</v>
      </c>
      <c r="Q9" s="12">
        <v>591.1</v>
      </c>
      <c r="R9" s="13"/>
      <c r="S9" s="13"/>
      <c r="T9" s="13"/>
      <c r="U9" s="13"/>
      <c r="V9" s="13"/>
    </row>
    <row r="10" spans="1:22" x14ac:dyDescent="0.25">
      <c r="A10">
        <v>8</v>
      </c>
      <c r="B10">
        <v>5</v>
      </c>
      <c r="C10">
        <v>10</v>
      </c>
      <c r="D10">
        <v>10</v>
      </c>
      <c r="E10">
        <v>10</v>
      </c>
      <c r="F10">
        <v>30</v>
      </c>
      <c r="G10">
        <v>80</v>
      </c>
      <c r="H10">
        <v>5</v>
      </c>
      <c r="I10" s="10">
        <v>79128000</v>
      </c>
      <c r="J10" s="11">
        <v>3.6999999999999998E-2</v>
      </c>
      <c r="K10" s="10">
        <v>77292600</v>
      </c>
      <c r="L10" s="11">
        <v>1.2999999999999999E-2</v>
      </c>
      <c r="M10" s="10">
        <v>77318700</v>
      </c>
      <c r="N10" s="11">
        <v>4.0000000000000001E-3</v>
      </c>
      <c r="O10" s="12">
        <v>10800</v>
      </c>
      <c r="P10" s="12">
        <v>161</v>
      </c>
      <c r="Q10" s="12">
        <v>1478.4</v>
      </c>
      <c r="R10" s="13"/>
      <c r="S10" s="13"/>
      <c r="T10" s="13"/>
      <c r="U10" s="13"/>
      <c r="V10" s="13"/>
    </row>
    <row r="11" spans="1:22" x14ac:dyDescent="0.25">
      <c r="A11">
        <v>9</v>
      </c>
      <c r="B11">
        <v>5</v>
      </c>
      <c r="C11">
        <v>10</v>
      </c>
      <c r="D11">
        <v>10</v>
      </c>
      <c r="E11">
        <v>10</v>
      </c>
      <c r="F11">
        <v>30</v>
      </c>
      <c r="G11">
        <v>80</v>
      </c>
      <c r="H11">
        <v>10</v>
      </c>
      <c r="I11" s="10">
        <v>90362000</v>
      </c>
      <c r="J11" s="11">
        <v>0.19700000000000001</v>
      </c>
      <c r="K11" s="10">
        <v>75051500</v>
      </c>
      <c r="L11" s="11">
        <v>1.9E-2</v>
      </c>
      <c r="M11" s="10">
        <v>183567602</v>
      </c>
      <c r="N11" s="11">
        <v>0.59799999999999998</v>
      </c>
      <c r="O11" s="12">
        <v>10800</v>
      </c>
      <c r="P11" s="12">
        <v>610</v>
      </c>
      <c r="Q11" s="12">
        <v>10800</v>
      </c>
      <c r="R11" s="13"/>
      <c r="S11" s="13"/>
      <c r="T11" s="13"/>
      <c r="U11" s="13"/>
      <c r="V11" s="13"/>
    </row>
    <row r="12" spans="1:22" x14ac:dyDescent="0.25">
      <c r="A12">
        <v>10</v>
      </c>
      <c r="B12">
        <v>5</v>
      </c>
      <c r="C12">
        <v>20</v>
      </c>
      <c r="D12">
        <v>20</v>
      </c>
      <c r="E12">
        <v>20</v>
      </c>
      <c r="F12">
        <v>30</v>
      </c>
      <c r="G12">
        <v>80</v>
      </c>
      <c r="H12">
        <v>3</v>
      </c>
      <c r="I12" s="10">
        <v>85942909</v>
      </c>
      <c r="J12" s="11">
        <v>1.0999999999999999E-2</v>
      </c>
      <c r="K12" s="10">
        <v>85546400</v>
      </c>
      <c r="L12" s="11">
        <v>7.0000000000000001E-3</v>
      </c>
      <c r="M12" s="10">
        <v>144769248</v>
      </c>
      <c r="N12" s="11">
        <v>0.41299999999999998</v>
      </c>
      <c r="O12" s="12">
        <v>10800</v>
      </c>
      <c r="P12" s="12">
        <v>200.9</v>
      </c>
      <c r="Q12" s="12">
        <v>10800</v>
      </c>
      <c r="R12" s="13"/>
      <c r="S12" s="13"/>
      <c r="T12" s="13"/>
      <c r="U12" s="13"/>
      <c r="V12" s="13"/>
    </row>
    <row r="13" spans="1:22" x14ac:dyDescent="0.25">
      <c r="A13">
        <v>11</v>
      </c>
      <c r="B13">
        <v>5</v>
      </c>
      <c r="C13">
        <v>20</v>
      </c>
      <c r="D13">
        <v>20</v>
      </c>
      <c r="E13">
        <v>20</v>
      </c>
      <c r="F13">
        <v>30</v>
      </c>
      <c r="G13">
        <v>80</v>
      </c>
      <c r="H13">
        <v>5</v>
      </c>
      <c r="I13" s="10">
        <v>161537905</v>
      </c>
      <c r="J13" s="11">
        <v>0.54500000000000004</v>
      </c>
      <c r="K13" s="10">
        <v>74697400</v>
      </c>
      <c r="L13" s="11">
        <v>1.4999999999999999E-2</v>
      </c>
      <c r="M13" s="10">
        <v>161537905</v>
      </c>
      <c r="N13" s="11">
        <v>0.54400000000000004</v>
      </c>
      <c r="O13" s="12">
        <v>10800</v>
      </c>
      <c r="P13" s="12">
        <v>718.5</v>
      </c>
      <c r="Q13" s="12">
        <v>10800</v>
      </c>
      <c r="R13" s="13"/>
      <c r="S13" s="13"/>
      <c r="T13" s="13"/>
      <c r="U13" s="13"/>
      <c r="V13" s="13"/>
    </row>
    <row r="14" spans="1:22" x14ac:dyDescent="0.25">
      <c r="A14">
        <v>12</v>
      </c>
      <c r="B14">
        <v>5</v>
      </c>
      <c r="C14">
        <v>20</v>
      </c>
      <c r="D14">
        <v>20</v>
      </c>
      <c r="E14">
        <v>20</v>
      </c>
      <c r="F14">
        <v>30</v>
      </c>
      <c r="G14">
        <v>80</v>
      </c>
      <c r="H14">
        <v>10</v>
      </c>
      <c r="I14" s="10">
        <v>183567602</v>
      </c>
      <c r="J14" s="11">
        <v>0.61199999999999999</v>
      </c>
      <c r="K14" s="10">
        <v>73010700</v>
      </c>
      <c r="L14" s="11">
        <v>0.02</v>
      </c>
      <c r="M14" s="10">
        <v>183567602</v>
      </c>
      <c r="N14" s="11">
        <v>0.61199999999999999</v>
      </c>
      <c r="O14" s="12">
        <v>10800</v>
      </c>
      <c r="P14" s="12">
        <v>4692.7</v>
      </c>
      <c r="Q14" s="12">
        <v>10800</v>
      </c>
      <c r="R14" s="13"/>
      <c r="S14" s="13"/>
      <c r="T14" s="13"/>
      <c r="U14" s="13"/>
      <c r="V14" s="13"/>
    </row>
    <row r="15" spans="1:22" x14ac:dyDescent="0.25">
      <c r="A15">
        <v>13</v>
      </c>
      <c r="B15">
        <v>10</v>
      </c>
      <c r="C15">
        <v>20</v>
      </c>
      <c r="D15">
        <v>20</v>
      </c>
      <c r="E15">
        <v>20</v>
      </c>
      <c r="F15">
        <v>30</v>
      </c>
      <c r="G15">
        <v>80</v>
      </c>
      <c r="H15">
        <v>3</v>
      </c>
      <c r="I15" s="10">
        <v>86947000</v>
      </c>
      <c r="J15" s="11">
        <v>3.1E-2</v>
      </c>
      <c r="K15" s="10">
        <v>85546400</v>
      </c>
      <c r="L15" s="11">
        <v>7.0000000000000001E-3</v>
      </c>
      <c r="M15" s="10">
        <v>144769248</v>
      </c>
      <c r="N15" s="11">
        <v>0.41699999999999998</v>
      </c>
      <c r="O15" s="12">
        <v>10800</v>
      </c>
      <c r="P15" s="12">
        <v>211.6</v>
      </c>
      <c r="Q15" s="12">
        <v>10800</v>
      </c>
      <c r="R15" s="13"/>
      <c r="S15" s="13"/>
      <c r="T15" s="13"/>
      <c r="U15" s="13"/>
      <c r="V15" s="13"/>
    </row>
    <row r="16" spans="1:22" x14ac:dyDescent="0.25">
      <c r="A16">
        <v>14</v>
      </c>
      <c r="B16">
        <v>10</v>
      </c>
      <c r="C16">
        <v>20</v>
      </c>
      <c r="D16">
        <v>20</v>
      </c>
      <c r="E16">
        <v>20</v>
      </c>
      <c r="F16">
        <v>30</v>
      </c>
      <c r="G16">
        <v>80</v>
      </c>
      <c r="H16">
        <v>5</v>
      </c>
      <c r="I16" s="10">
        <v>161540000</v>
      </c>
      <c r="J16" s="11">
        <v>0.56799999999999995</v>
      </c>
      <c r="K16" s="10">
        <v>74697400</v>
      </c>
      <c r="L16" s="11">
        <v>1.4999999999999999E-2</v>
      </c>
      <c r="M16" s="10">
        <v>161537905</v>
      </c>
      <c r="N16" s="11">
        <v>0.56399999999999995</v>
      </c>
      <c r="O16" s="12">
        <v>10800</v>
      </c>
      <c r="P16" s="12">
        <v>761.1</v>
      </c>
      <c r="Q16" s="12">
        <v>10800</v>
      </c>
      <c r="R16" s="13"/>
      <c r="S16" s="13"/>
      <c r="T16" s="13"/>
      <c r="U16" s="13"/>
      <c r="V16" s="13"/>
    </row>
    <row r="17" spans="1:22" x14ac:dyDescent="0.25">
      <c r="A17">
        <v>15</v>
      </c>
      <c r="B17">
        <v>10</v>
      </c>
      <c r="C17">
        <v>20</v>
      </c>
      <c r="D17">
        <v>20</v>
      </c>
      <c r="E17">
        <v>20</v>
      </c>
      <c r="F17">
        <v>30</v>
      </c>
      <c r="G17">
        <v>80</v>
      </c>
      <c r="H17">
        <v>10</v>
      </c>
      <c r="I17" s="10">
        <v>183567602</v>
      </c>
      <c r="J17" s="11">
        <v>1</v>
      </c>
      <c r="K17" s="10">
        <v>72316400</v>
      </c>
      <c r="L17" s="11">
        <v>1.9E-2</v>
      </c>
      <c r="M17" s="10">
        <v>183567602</v>
      </c>
      <c r="N17" s="11">
        <v>0.61499999999999999</v>
      </c>
      <c r="O17" s="12">
        <v>10800</v>
      </c>
      <c r="P17" s="12">
        <v>5611.6</v>
      </c>
      <c r="Q17" s="12">
        <v>10800</v>
      </c>
      <c r="R17" s="13"/>
      <c r="S17" s="13"/>
      <c r="T17" s="13"/>
      <c r="U17" s="13"/>
      <c r="V17" s="13"/>
    </row>
    <row r="18" spans="1:22" x14ac:dyDescent="0.25">
      <c r="A18">
        <v>16</v>
      </c>
      <c r="B18">
        <v>10</v>
      </c>
      <c r="C18">
        <v>20</v>
      </c>
      <c r="D18">
        <v>20</v>
      </c>
      <c r="E18">
        <v>20</v>
      </c>
      <c r="F18">
        <v>50</v>
      </c>
      <c r="G18">
        <v>80</v>
      </c>
      <c r="H18">
        <v>3</v>
      </c>
      <c r="I18" s="10">
        <v>285097364</v>
      </c>
      <c r="J18" s="11">
        <v>0.41599999999999998</v>
      </c>
      <c r="K18" s="10">
        <v>167756000</v>
      </c>
      <c r="L18" s="11">
        <v>7.0000000000000001E-3</v>
      </c>
      <c r="M18" s="10">
        <v>285097364</v>
      </c>
      <c r="N18" s="11">
        <v>0.42399999999999999</v>
      </c>
      <c r="O18" s="12">
        <v>10800</v>
      </c>
      <c r="P18" s="12">
        <v>483.3</v>
      </c>
      <c r="Q18" s="12">
        <v>10800</v>
      </c>
      <c r="R18" s="13"/>
      <c r="S18" s="13"/>
      <c r="T18" s="13"/>
      <c r="U18" s="13"/>
      <c r="V18" s="13"/>
    </row>
    <row r="19" spans="1:22" x14ac:dyDescent="0.25">
      <c r="A19">
        <v>17</v>
      </c>
      <c r="B19">
        <v>10</v>
      </c>
      <c r="C19">
        <v>20</v>
      </c>
      <c r="D19">
        <v>20</v>
      </c>
      <c r="E19">
        <v>20</v>
      </c>
      <c r="F19">
        <v>50</v>
      </c>
      <c r="G19">
        <v>80</v>
      </c>
      <c r="H19">
        <v>5</v>
      </c>
      <c r="I19" s="10">
        <v>301550834</v>
      </c>
      <c r="J19" s="11">
        <v>1</v>
      </c>
      <c r="K19" s="10">
        <v>129216000</v>
      </c>
      <c r="L19" s="11">
        <v>1.4999999999999999E-2</v>
      </c>
      <c r="M19" s="10">
        <v>301550834</v>
      </c>
      <c r="N19" s="11">
        <v>0.58299999999999996</v>
      </c>
      <c r="O19" s="12">
        <v>10800</v>
      </c>
      <c r="P19" s="12">
        <v>1301</v>
      </c>
      <c r="Q19" s="12">
        <v>10800</v>
      </c>
      <c r="R19" s="13"/>
      <c r="S19" s="13"/>
      <c r="T19" s="13"/>
      <c r="U19" s="13"/>
      <c r="V19" s="13"/>
    </row>
    <row r="20" spans="1:22" x14ac:dyDescent="0.25">
      <c r="A20">
        <v>18</v>
      </c>
      <c r="B20">
        <v>10</v>
      </c>
      <c r="C20">
        <v>20</v>
      </c>
      <c r="D20">
        <v>20</v>
      </c>
      <c r="E20">
        <v>20</v>
      </c>
      <c r="F20">
        <v>50</v>
      </c>
      <c r="G20">
        <v>80</v>
      </c>
      <c r="H20">
        <v>10</v>
      </c>
      <c r="I20" s="10">
        <v>320961515</v>
      </c>
      <c r="J20" s="11">
        <v>1</v>
      </c>
      <c r="K20" s="10">
        <v>124122000</v>
      </c>
      <c r="L20" s="11">
        <v>2.1999999999999999E-2</v>
      </c>
      <c r="M20" s="10">
        <v>320961515</v>
      </c>
      <c r="N20" s="11">
        <v>0.629</v>
      </c>
      <c r="O20" s="12">
        <v>10800</v>
      </c>
      <c r="P20" s="12">
        <v>10800</v>
      </c>
      <c r="Q20" s="12">
        <v>10800</v>
      </c>
      <c r="R20" s="13"/>
      <c r="S20" s="13"/>
      <c r="T20" s="13"/>
      <c r="U20" s="13"/>
      <c r="V20" s="13"/>
    </row>
    <row r="21" spans="1:22" x14ac:dyDescent="0.25">
      <c r="A21">
        <v>19</v>
      </c>
      <c r="B21">
        <v>10</v>
      </c>
      <c r="C21">
        <v>20</v>
      </c>
      <c r="D21">
        <v>20</v>
      </c>
      <c r="E21">
        <v>20</v>
      </c>
      <c r="F21">
        <v>50</v>
      </c>
      <c r="G21">
        <v>125</v>
      </c>
      <c r="H21">
        <v>3</v>
      </c>
      <c r="I21" s="10">
        <v>307905153</v>
      </c>
      <c r="J21" s="11">
        <v>0.41599999999999998</v>
      </c>
      <c r="K21" s="10">
        <v>181176480</v>
      </c>
      <c r="L21" s="11">
        <v>7.0000000000000001E-3</v>
      </c>
      <c r="M21" s="10">
        <v>307905153</v>
      </c>
      <c r="N21" s="11">
        <v>0.42399999999999999</v>
      </c>
      <c r="O21" s="12">
        <v>10800</v>
      </c>
      <c r="P21" s="12">
        <v>811.7</v>
      </c>
      <c r="Q21" s="12">
        <v>10800</v>
      </c>
      <c r="R21" s="13"/>
      <c r="S21" s="13"/>
      <c r="T21" s="13"/>
      <c r="U21" s="13"/>
      <c r="V21" s="13"/>
    </row>
    <row r="22" spans="1:22" x14ac:dyDescent="0.25">
      <c r="A22">
        <v>20</v>
      </c>
      <c r="B22">
        <v>10</v>
      </c>
      <c r="C22">
        <v>20</v>
      </c>
      <c r="D22">
        <v>20</v>
      </c>
      <c r="E22">
        <v>20</v>
      </c>
      <c r="F22">
        <v>50</v>
      </c>
      <c r="G22">
        <v>125</v>
      </c>
      <c r="H22">
        <v>5</v>
      </c>
      <c r="I22" s="10">
        <v>370907526</v>
      </c>
      <c r="J22" s="11">
        <v>1</v>
      </c>
      <c r="K22" s="10">
        <v>158935680</v>
      </c>
      <c r="L22" s="11">
        <v>1.4999999999999999E-2</v>
      </c>
      <c r="M22" s="10">
        <v>370907526</v>
      </c>
      <c r="N22" s="11">
        <v>0.58299999999999996</v>
      </c>
      <c r="O22" s="12">
        <v>10800</v>
      </c>
      <c r="P22" s="12">
        <v>2290.6999999999998</v>
      </c>
      <c r="Q22" s="12">
        <v>10800</v>
      </c>
      <c r="R22" s="13"/>
      <c r="S22" s="13"/>
      <c r="T22" s="13"/>
      <c r="U22" s="13"/>
      <c r="V22" s="13"/>
    </row>
    <row r="23" spans="1:22" x14ac:dyDescent="0.25">
      <c r="A23">
        <v>21</v>
      </c>
      <c r="B23">
        <v>10</v>
      </c>
      <c r="C23">
        <v>20</v>
      </c>
      <c r="D23">
        <v>20</v>
      </c>
      <c r="E23">
        <v>20</v>
      </c>
      <c r="F23">
        <v>50</v>
      </c>
      <c r="G23">
        <v>125</v>
      </c>
      <c r="H23">
        <v>10</v>
      </c>
      <c r="I23" s="10">
        <v>455765351</v>
      </c>
      <c r="J23" s="11">
        <v>1</v>
      </c>
      <c r="K23" s="10">
        <v>182178580</v>
      </c>
      <c r="L23" s="11">
        <v>2.1000000000000001E-2</v>
      </c>
      <c r="M23" s="10">
        <v>455765351</v>
      </c>
      <c r="N23" s="11">
        <v>0.629</v>
      </c>
      <c r="O23" s="12">
        <v>10800</v>
      </c>
      <c r="P23" s="12">
        <v>10800</v>
      </c>
      <c r="Q23" s="12">
        <v>10800</v>
      </c>
      <c r="R23" s="13"/>
      <c r="S23" s="13"/>
      <c r="T23" s="13"/>
      <c r="U23" s="13"/>
      <c r="V23" s="13"/>
    </row>
    <row r="24" spans="1:22" x14ac:dyDescent="0.25">
      <c r="R24" s="13"/>
    </row>
    <row r="30" spans="1:22" x14ac:dyDescent="0.25">
      <c r="I30" s="23" t="s">
        <v>46</v>
      </c>
      <c r="J30" s="24"/>
      <c r="K30" s="23" t="s">
        <v>51</v>
      </c>
      <c r="L30" s="24"/>
      <c r="M30" s="23" t="s">
        <v>30</v>
      </c>
      <c r="N30" s="24"/>
      <c r="O30" t="s">
        <v>44</v>
      </c>
    </row>
    <row r="31" spans="1:22" x14ac:dyDescent="0.25">
      <c r="A31" t="s">
        <v>32</v>
      </c>
      <c r="B31" t="s">
        <v>38</v>
      </c>
      <c r="C31" t="s">
        <v>39</v>
      </c>
      <c r="D31" t="s">
        <v>40</v>
      </c>
      <c r="E31" t="s">
        <v>41</v>
      </c>
      <c r="F31" t="s">
        <v>42</v>
      </c>
      <c r="G31" t="s">
        <v>43</v>
      </c>
      <c r="H31" t="s">
        <v>4</v>
      </c>
      <c r="I31" t="s">
        <v>49</v>
      </c>
      <c r="J31" t="s">
        <v>37</v>
      </c>
      <c r="K31" t="s">
        <v>49</v>
      </c>
      <c r="L31" t="s">
        <v>37</v>
      </c>
      <c r="M31" t="s">
        <v>49</v>
      </c>
      <c r="N31" t="s">
        <v>37</v>
      </c>
      <c r="O31" t="s">
        <v>45</v>
      </c>
      <c r="P31" t="s">
        <v>47</v>
      </c>
      <c r="Q31" t="s">
        <v>48</v>
      </c>
    </row>
    <row r="32" spans="1:22" x14ac:dyDescent="0.25">
      <c r="A32">
        <v>1</v>
      </c>
      <c r="B32">
        <v>5</v>
      </c>
      <c r="C32">
        <v>10</v>
      </c>
      <c r="D32">
        <v>10</v>
      </c>
      <c r="E32">
        <v>10</v>
      </c>
      <c r="F32">
        <v>20</v>
      </c>
      <c r="G32">
        <v>45</v>
      </c>
      <c r="H32">
        <v>3</v>
      </c>
      <c r="I32" s="10">
        <v>79716219</v>
      </c>
      <c r="J32" s="11">
        <v>3.0000000000000001E-3</v>
      </c>
      <c r="K32" s="10">
        <v>79824300</v>
      </c>
      <c r="L32" s="11">
        <v>7.0000000000000001E-3</v>
      </c>
      <c r="M32" s="10">
        <v>79708100</v>
      </c>
      <c r="N32" s="11">
        <v>0</v>
      </c>
      <c r="O32" s="12">
        <v>10800</v>
      </c>
      <c r="P32" s="12">
        <v>24.2</v>
      </c>
      <c r="Q32" s="12">
        <v>141.69999999999999</v>
      </c>
      <c r="R32" s="13"/>
      <c r="S32" s="13"/>
      <c r="T32" s="13"/>
      <c r="U32" s="13"/>
      <c r="V32" s="13"/>
    </row>
    <row r="33" spans="1:22" x14ac:dyDescent="0.25">
      <c r="A33">
        <v>2</v>
      </c>
      <c r="B33">
        <v>5</v>
      </c>
      <c r="C33">
        <v>10</v>
      </c>
      <c r="D33">
        <v>10</v>
      </c>
      <c r="E33">
        <v>10</v>
      </c>
      <c r="F33">
        <v>20</v>
      </c>
      <c r="G33">
        <v>45</v>
      </c>
      <c r="H33">
        <v>5</v>
      </c>
      <c r="I33" s="10">
        <v>69849753</v>
      </c>
      <c r="J33" s="11">
        <v>1.2999999999999999E-2</v>
      </c>
      <c r="K33" s="10">
        <v>70259600</v>
      </c>
      <c r="L33" s="11">
        <v>1.0999999999999999E-2</v>
      </c>
      <c r="M33" s="10">
        <v>70399768</v>
      </c>
      <c r="N33" s="11">
        <v>1.2E-2</v>
      </c>
      <c r="O33" s="12">
        <v>10800</v>
      </c>
      <c r="P33" s="12">
        <v>56.8</v>
      </c>
      <c r="Q33" s="12">
        <v>679.8</v>
      </c>
      <c r="R33" s="13"/>
      <c r="S33" s="13"/>
      <c r="T33" s="13"/>
      <c r="U33" s="13"/>
      <c r="V33" s="13"/>
    </row>
    <row r="34" spans="1:22" x14ac:dyDescent="0.25">
      <c r="A34">
        <v>3</v>
      </c>
      <c r="B34">
        <v>5</v>
      </c>
      <c r="C34">
        <v>10</v>
      </c>
      <c r="D34">
        <v>10</v>
      </c>
      <c r="E34">
        <v>10</v>
      </c>
      <c r="F34">
        <v>20</v>
      </c>
      <c r="G34">
        <v>45</v>
      </c>
      <c r="H34">
        <v>10</v>
      </c>
      <c r="I34" s="10">
        <v>71363308</v>
      </c>
      <c r="J34" s="11">
        <v>0.13</v>
      </c>
      <c r="K34" s="10">
        <v>63883800</v>
      </c>
      <c r="L34" s="11">
        <v>1.4E-2</v>
      </c>
      <c r="M34" s="10">
        <v>63233100</v>
      </c>
      <c r="N34" s="11">
        <v>4.0000000000000001E-3</v>
      </c>
      <c r="O34" s="12">
        <v>10800</v>
      </c>
      <c r="P34" s="12">
        <v>215.7</v>
      </c>
      <c r="Q34" s="12">
        <v>2637.3</v>
      </c>
      <c r="R34" s="13"/>
      <c r="S34" s="13"/>
      <c r="T34" s="13"/>
      <c r="U34" s="13"/>
      <c r="V34" s="13"/>
    </row>
    <row r="35" spans="1:22" x14ac:dyDescent="0.25">
      <c r="A35">
        <v>4</v>
      </c>
      <c r="B35">
        <v>5</v>
      </c>
      <c r="C35">
        <v>10</v>
      </c>
      <c r="D35">
        <v>10</v>
      </c>
      <c r="E35">
        <v>10</v>
      </c>
      <c r="F35">
        <v>20</v>
      </c>
      <c r="G35">
        <v>80</v>
      </c>
      <c r="H35">
        <v>3</v>
      </c>
      <c r="I35" s="10">
        <v>79814413</v>
      </c>
      <c r="J35" s="11">
        <v>4.0000000000000001E-3</v>
      </c>
      <c r="K35" s="10">
        <v>79824300</v>
      </c>
      <c r="L35" s="11">
        <v>7.0000000000000001E-3</v>
      </c>
      <c r="M35" s="10">
        <v>79708100</v>
      </c>
      <c r="N35" s="11">
        <v>0</v>
      </c>
      <c r="O35" s="12">
        <v>10800</v>
      </c>
      <c r="P35" s="12">
        <v>53.9</v>
      </c>
      <c r="Q35" s="12">
        <v>278.5</v>
      </c>
      <c r="R35" s="13"/>
      <c r="S35" s="13"/>
      <c r="T35" s="13"/>
      <c r="U35" s="13"/>
      <c r="V35" s="13"/>
    </row>
    <row r="36" spans="1:22" x14ac:dyDescent="0.25">
      <c r="A36">
        <v>5</v>
      </c>
      <c r="B36">
        <v>5</v>
      </c>
      <c r="C36">
        <v>10</v>
      </c>
      <c r="D36">
        <v>10</v>
      </c>
      <c r="E36">
        <v>10</v>
      </c>
      <c r="F36">
        <v>20</v>
      </c>
      <c r="G36">
        <v>80</v>
      </c>
      <c r="H36">
        <v>5</v>
      </c>
      <c r="I36" s="10">
        <v>70227218</v>
      </c>
      <c r="J36" s="11">
        <v>1.9E-2</v>
      </c>
      <c r="K36" s="10">
        <v>69759600</v>
      </c>
      <c r="L36" s="11">
        <v>1.0999999999999999E-2</v>
      </c>
      <c r="M36" s="10">
        <v>69733278</v>
      </c>
      <c r="N36" s="11">
        <v>2E-3</v>
      </c>
      <c r="O36" s="12">
        <v>10800</v>
      </c>
      <c r="P36" s="12">
        <v>125.7</v>
      </c>
      <c r="Q36" s="12">
        <v>968.2</v>
      </c>
      <c r="R36" s="13"/>
      <c r="S36" s="13"/>
      <c r="T36" s="13"/>
      <c r="U36" s="13"/>
      <c r="V36" s="13"/>
    </row>
    <row r="37" spans="1:22" x14ac:dyDescent="0.25">
      <c r="A37">
        <v>6</v>
      </c>
      <c r="B37">
        <v>5</v>
      </c>
      <c r="C37">
        <v>10</v>
      </c>
      <c r="D37">
        <v>10</v>
      </c>
      <c r="E37">
        <v>10</v>
      </c>
      <c r="F37">
        <v>20</v>
      </c>
      <c r="G37">
        <v>80</v>
      </c>
      <c r="H37">
        <v>10</v>
      </c>
      <c r="I37" s="10">
        <v>71363308</v>
      </c>
      <c r="J37" s="11">
        <v>0.13</v>
      </c>
      <c r="K37" s="10">
        <v>63883800</v>
      </c>
      <c r="L37" s="11">
        <v>1.4E-2</v>
      </c>
      <c r="M37" s="10">
        <v>63265604</v>
      </c>
      <c r="N37" s="11">
        <v>4.0000000000000001E-3</v>
      </c>
      <c r="O37" s="12">
        <v>10800</v>
      </c>
      <c r="P37" s="12">
        <v>589.79999999999995</v>
      </c>
      <c r="Q37" s="12">
        <v>3978.8</v>
      </c>
      <c r="R37" s="13"/>
      <c r="S37" s="13"/>
      <c r="T37" s="13"/>
      <c r="U37" s="13"/>
      <c r="V37" s="13"/>
    </row>
    <row r="38" spans="1:22" x14ac:dyDescent="0.25">
      <c r="A38">
        <v>7</v>
      </c>
      <c r="B38">
        <v>5</v>
      </c>
      <c r="C38">
        <v>10</v>
      </c>
      <c r="D38">
        <v>10</v>
      </c>
      <c r="E38">
        <v>10</v>
      </c>
      <c r="F38">
        <v>30</v>
      </c>
      <c r="G38">
        <v>80</v>
      </c>
      <c r="H38">
        <v>3</v>
      </c>
      <c r="I38" s="10">
        <v>101110000</v>
      </c>
      <c r="J38" s="11">
        <v>4.0000000000000001E-3</v>
      </c>
      <c r="K38" s="10">
        <v>101075000</v>
      </c>
      <c r="L38" s="11">
        <v>4.0000000000000001E-3</v>
      </c>
      <c r="M38" s="10">
        <v>101075000</v>
      </c>
      <c r="N38" s="11">
        <v>0</v>
      </c>
      <c r="O38" s="12">
        <v>10800</v>
      </c>
      <c r="P38" s="12">
        <v>71.599999999999994</v>
      </c>
      <c r="Q38" s="12">
        <v>445</v>
      </c>
      <c r="R38" s="13"/>
      <c r="S38" s="13"/>
      <c r="T38" s="13"/>
      <c r="U38" s="13"/>
      <c r="V38" s="13"/>
    </row>
    <row r="39" spans="1:22" x14ac:dyDescent="0.25">
      <c r="A39">
        <v>8</v>
      </c>
      <c r="B39">
        <v>5</v>
      </c>
      <c r="C39">
        <v>10</v>
      </c>
      <c r="D39">
        <v>10</v>
      </c>
      <c r="E39">
        <v>10</v>
      </c>
      <c r="F39">
        <v>30</v>
      </c>
      <c r="G39">
        <v>80</v>
      </c>
      <c r="H39">
        <v>5</v>
      </c>
      <c r="I39" s="10">
        <v>88316000</v>
      </c>
      <c r="J39" s="11">
        <v>4.1000000000000002E-2</v>
      </c>
      <c r="K39" s="10">
        <v>85682000</v>
      </c>
      <c r="L39" s="11">
        <v>0.01</v>
      </c>
      <c r="M39" s="10">
        <v>85549000</v>
      </c>
      <c r="N39" s="11">
        <v>4.0000000000000001E-3</v>
      </c>
      <c r="O39" s="12">
        <v>10800</v>
      </c>
      <c r="P39" s="12">
        <v>183</v>
      </c>
      <c r="Q39" s="12">
        <v>1324.3</v>
      </c>
      <c r="R39" s="13"/>
      <c r="S39" s="13"/>
      <c r="T39" s="13"/>
      <c r="U39" s="13"/>
      <c r="V39" s="13"/>
    </row>
    <row r="40" spans="1:22" x14ac:dyDescent="0.25">
      <c r="A40">
        <v>9</v>
      </c>
      <c r="B40">
        <v>5</v>
      </c>
      <c r="C40">
        <v>10</v>
      </c>
      <c r="D40">
        <v>10</v>
      </c>
      <c r="E40">
        <v>10</v>
      </c>
      <c r="F40">
        <v>30</v>
      </c>
      <c r="G40">
        <v>80</v>
      </c>
      <c r="H40">
        <v>10</v>
      </c>
      <c r="I40" s="10">
        <v>83150000</v>
      </c>
      <c r="J40" s="11">
        <v>1</v>
      </c>
      <c r="K40" s="10">
        <v>82170600</v>
      </c>
      <c r="L40" s="11">
        <v>1.7999999999999999E-2</v>
      </c>
      <c r="M40" s="10">
        <v>196963202</v>
      </c>
      <c r="N40" s="11">
        <v>0.59</v>
      </c>
      <c r="O40" s="12">
        <v>10800</v>
      </c>
      <c r="P40" s="12">
        <v>808.7</v>
      </c>
      <c r="Q40" s="12">
        <v>10800</v>
      </c>
      <c r="R40" s="13"/>
      <c r="S40" s="13"/>
      <c r="T40" s="13"/>
      <c r="U40" s="13"/>
      <c r="V40" s="13"/>
    </row>
    <row r="41" spans="1:22" x14ac:dyDescent="0.25">
      <c r="A41">
        <v>10</v>
      </c>
      <c r="B41">
        <v>5</v>
      </c>
      <c r="C41">
        <v>20</v>
      </c>
      <c r="D41">
        <v>20</v>
      </c>
      <c r="E41">
        <v>20</v>
      </c>
      <c r="F41">
        <v>30</v>
      </c>
      <c r="G41">
        <v>80</v>
      </c>
      <c r="H41">
        <v>3</v>
      </c>
      <c r="I41" s="10">
        <v>98397218</v>
      </c>
      <c r="J41" s="11">
        <v>6.0000000000000001E-3</v>
      </c>
      <c r="K41" s="10">
        <v>98385200</v>
      </c>
      <c r="L41" s="11">
        <v>6.0000000000000001E-3</v>
      </c>
      <c r="M41" s="10">
        <v>163872634</v>
      </c>
      <c r="N41" s="11">
        <v>0.40600000000000003</v>
      </c>
      <c r="O41" s="12">
        <v>10800</v>
      </c>
      <c r="P41" s="12">
        <v>244.1</v>
      </c>
      <c r="Q41" s="12">
        <v>10800</v>
      </c>
      <c r="R41" s="13"/>
      <c r="S41" s="13"/>
      <c r="T41" s="13"/>
      <c r="U41" s="13"/>
      <c r="V41" s="13"/>
    </row>
    <row r="42" spans="1:22" x14ac:dyDescent="0.25">
      <c r="A42">
        <v>11</v>
      </c>
      <c r="B42">
        <v>5</v>
      </c>
      <c r="C42">
        <v>20</v>
      </c>
      <c r="D42">
        <v>20</v>
      </c>
      <c r="E42">
        <v>20</v>
      </c>
      <c r="F42">
        <v>30</v>
      </c>
      <c r="G42">
        <v>80</v>
      </c>
      <c r="H42">
        <v>5</v>
      </c>
      <c r="I42" s="10">
        <v>173330785</v>
      </c>
      <c r="J42" s="11">
        <v>1</v>
      </c>
      <c r="K42" s="10">
        <v>79843000</v>
      </c>
      <c r="L42" s="11">
        <v>1.2999999999999999E-2</v>
      </c>
      <c r="M42" s="10">
        <v>173330785</v>
      </c>
      <c r="N42" s="11">
        <v>0.54700000000000004</v>
      </c>
      <c r="O42" s="12">
        <v>10800</v>
      </c>
      <c r="P42" s="12">
        <v>649.79999999999995</v>
      </c>
      <c r="Q42" s="12">
        <v>10800</v>
      </c>
      <c r="R42" s="13"/>
      <c r="S42" s="13"/>
      <c r="T42" s="13"/>
      <c r="U42" s="13"/>
      <c r="V42" s="13"/>
    </row>
    <row r="43" spans="1:22" x14ac:dyDescent="0.25">
      <c r="A43">
        <v>12</v>
      </c>
      <c r="B43">
        <v>5</v>
      </c>
      <c r="C43">
        <v>20</v>
      </c>
      <c r="D43">
        <v>20</v>
      </c>
      <c r="E43">
        <v>20</v>
      </c>
      <c r="F43">
        <v>30</v>
      </c>
      <c r="G43">
        <v>80</v>
      </c>
      <c r="H43">
        <v>10</v>
      </c>
      <c r="I43" s="10">
        <v>196963202</v>
      </c>
      <c r="J43" s="11">
        <v>1</v>
      </c>
      <c r="K43" s="10">
        <v>78310300</v>
      </c>
      <c r="L43" s="11">
        <v>0.02</v>
      </c>
      <c r="M43" s="10">
        <v>196963202</v>
      </c>
      <c r="N43" s="11">
        <v>0.61399999999999999</v>
      </c>
      <c r="O43" s="12">
        <v>10800</v>
      </c>
      <c r="P43" s="12">
        <v>2959</v>
      </c>
      <c r="Q43" s="12">
        <v>10800</v>
      </c>
      <c r="R43" s="13"/>
      <c r="S43" s="13"/>
      <c r="T43" s="13"/>
      <c r="U43" s="13"/>
      <c r="V43" s="13"/>
    </row>
    <row r="44" spans="1:22" x14ac:dyDescent="0.25">
      <c r="A44">
        <v>13</v>
      </c>
      <c r="B44">
        <v>10</v>
      </c>
      <c r="C44">
        <v>20</v>
      </c>
      <c r="D44">
        <v>20</v>
      </c>
      <c r="E44">
        <v>20</v>
      </c>
      <c r="F44">
        <v>30</v>
      </c>
      <c r="G44">
        <v>80</v>
      </c>
      <c r="H44">
        <v>3</v>
      </c>
      <c r="I44" s="10">
        <v>98014000</v>
      </c>
      <c r="J44" s="11">
        <v>1.2E-2</v>
      </c>
      <c r="K44" s="10">
        <v>97495100</v>
      </c>
      <c r="L44" s="11">
        <v>7.0000000000000001E-3</v>
      </c>
      <c r="M44" s="10">
        <v>163872634</v>
      </c>
      <c r="N44" s="11">
        <v>0.40600000000000003</v>
      </c>
      <c r="O44" s="12">
        <v>10800</v>
      </c>
      <c r="P44" s="12">
        <v>230.6</v>
      </c>
      <c r="Q44" s="12">
        <v>10800</v>
      </c>
      <c r="R44" s="13"/>
      <c r="S44" s="13"/>
      <c r="T44" s="13"/>
      <c r="U44" s="13"/>
      <c r="V44" s="13"/>
    </row>
    <row r="45" spans="1:22" x14ac:dyDescent="0.25">
      <c r="A45">
        <v>14</v>
      </c>
      <c r="B45">
        <v>10</v>
      </c>
      <c r="C45">
        <v>20</v>
      </c>
      <c r="D45">
        <v>20</v>
      </c>
      <c r="E45">
        <v>20</v>
      </c>
      <c r="F45">
        <v>30</v>
      </c>
      <c r="G45">
        <v>80</v>
      </c>
      <c r="H45">
        <v>5</v>
      </c>
      <c r="I45" s="10">
        <v>171330000</v>
      </c>
      <c r="J45" s="11">
        <v>1</v>
      </c>
      <c r="K45" s="10">
        <v>76062700</v>
      </c>
      <c r="L45" s="11">
        <v>1.2999999999999999E-2</v>
      </c>
      <c r="M45" s="10">
        <v>171330785</v>
      </c>
      <c r="N45" s="11">
        <v>0.55900000000000005</v>
      </c>
      <c r="O45" s="12">
        <v>10800</v>
      </c>
      <c r="P45" s="12">
        <v>790.1</v>
      </c>
      <c r="Q45" s="12">
        <v>10800</v>
      </c>
      <c r="R45" s="13"/>
      <c r="S45" s="13"/>
      <c r="T45" s="13"/>
      <c r="U45" s="13"/>
      <c r="V45" s="13"/>
    </row>
    <row r="46" spans="1:22" x14ac:dyDescent="0.25">
      <c r="A46">
        <v>15</v>
      </c>
      <c r="B46">
        <v>10</v>
      </c>
      <c r="C46">
        <v>20</v>
      </c>
      <c r="D46">
        <v>20</v>
      </c>
      <c r="E46">
        <v>20</v>
      </c>
      <c r="F46">
        <v>30</v>
      </c>
      <c r="G46">
        <v>80</v>
      </c>
      <c r="H46">
        <v>10</v>
      </c>
      <c r="I46" s="10">
        <v>196960000</v>
      </c>
      <c r="J46" s="11">
        <v>1</v>
      </c>
      <c r="K46" s="10">
        <v>77708500</v>
      </c>
      <c r="L46" s="11">
        <v>1.9E-2</v>
      </c>
      <c r="M46" s="10">
        <v>193963202</v>
      </c>
      <c r="N46" s="11">
        <v>0.60799999999999998</v>
      </c>
      <c r="O46" s="12">
        <v>10800</v>
      </c>
      <c r="P46" s="12">
        <v>6052.4</v>
      </c>
      <c r="Q46" s="12">
        <v>10800</v>
      </c>
      <c r="R46" s="13"/>
      <c r="S46" s="13"/>
      <c r="T46" s="13"/>
      <c r="U46" s="13"/>
      <c r="V46" s="13"/>
    </row>
    <row r="47" spans="1:22" x14ac:dyDescent="0.25">
      <c r="A47">
        <v>16</v>
      </c>
      <c r="B47">
        <v>10</v>
      </c>
      <c r="C47">
        <v>20</v>
      </c>
      <c r="D47">
        <v>20</v>
      </c>
      <c r="E47">
        <v>20</v>
      </c>
      <c r="F47">
        <v>50</v>
      </c>
      <c r="G47">
        <v>80</v>
      </c>
      <c r="H47">
        <v>3</v>
      </c>
      <c r="I47" s="10">
        <v>262899188</v>
      </c>
      <c r="J47" s="11">
        <v>0.41599999999999998</v>
      </c>
      <c r="K47" s="10">
        <v>154364000</v>
      </c>
      <c r="L47" s="11">
        <v>5.0000000000000001E-3</v>
      </c>
      <c r="M47" s="10">
        <v>262899188</v>
      </c>
      <c r="N47" s="11">
        <v>0.42399999999999999</v>
      </c>
      <c r="O47" s="12">
        <v>10800</v>
      </c>
      <c r="P47" s="12">
        <v>433.3</v>
      </c>
      <c r="Q47" s="12">
        <v>10800</v>
      </c>
      <c r="R47" s="13"/>
      <c r="S47" s="13"/>
      <c r="T47" s="13"/>
      <c r="U47" s="13"/>
      <c r="V47" s="13"/>
    </row>
    <row r="48" spans="1:22" x14ac:dyDescent="0.25">
      <c r="A48">
        <v>17</v>
      </c>
      <c r="B48">
        <v>10</v>
      </c>
      <c r="C48">
        <v>20</v>
      </c>
      <c r="D48">
        <v>20</v>
      </c>
      <c r="E48">
        <v>20</v>
      </c>
      <c r="F48">
        <v>50</v>
      </c>
      <c r="G48">
        <v>80</v>
      </c>
      <c r="H48">
        <v>5</v>
      </c>
      <c r="I48" s="10">
        <v>278069618</v>
      </c>
      <c r="J48" s="11">
        <v>1</v>
      </c>
      <c r="K48" s="10">
        <v>119286000</v>
      </c>
      <c r="L48" s="11">
        <v>1.0999999999999999E-2</v>
      </c>
      <c r="M48" s="10">
        <v>278069618</v>
      </c>
      <c r="N48" s="11">
        <v>0.58199999999999996</v>
      </c>
      <c r="O48" s="12">
        <v>10800</v>
      </c>
      <c r="P48" s="12">
        <v>1511.4</v>
      </c>
      <c r="Q48" s="12">
        <v>10800</v>
      </c>
      <c r="R48" s="13"/>
      <c r="S48" s="13"/>
      <c r="T48" s="13"/>
      <c r="U48" s="13"/>
      <c r="V48" s="13"/>
    </row>
    <row r="49" spans="1:22" x14ac:dyDescent="0.25">
      <c r="A49">
        <v>18</v>
      </c>
      <c r="B49">
        <v>10</v>
      </c>
      <c r="C49">
        <v>20</v>
      </c>
      <c r="D49">
        <v>20</v>
      </c>
      <c r="E49">
        <v>20</v>
      </c>
      <c r="F49">
        <v>50</v>
      </c>
      <c r="G49">
        <v>80</v>
      </c>
      <c r="H49">
        <v>10</v>
      </c>
      <c r="I49" s="10">
        <v>293238722</v>
      </c>
      <c r="J49" s="11">
        <v>1</v>
      </c>
      <c r="K49" s="10">
        <v>112126000</v>
      </c>
      <c r="L49" s="11">
        <v>1.6E-2</v>
      </c>
      <c r="M49" s="10">
        <v>293238722</v>
      </c>
      <c r="N49" s="11">
        <v>0.63100000000000001</v>
      </c>
      <c r="O49" s="12">
        <v>10800</v>
      </c>
      <c r="P49" s="12">
        <v>5683.4</v>
      </c>
      <c r="Q49" s="12">
        <v>10800</v>
      </c>
      <c r="R49" s="13"/>
      <c r="S49" s="13"/>
      <c r="T49" s="13"/>
      <c r="U49" s="13"/>
      <c r="V49" s="13"/>
    </row>
    <row r="50" spans="1:22" x14ac:dyDescent="0.25">
      <c r="A50">
        <v>19</v>
      </c>
      <c r="B50">
        <v>10</v>
      </c>
      <c r="C50">
        <v>20</v>
      </c>
      <c r="D50">
        <v>20</v>
      </c>
      <c r="E50">
        <v>20</v>
      </c>
      <c r="F50">
        <v>50</v>
      </c>
      <c r="G50">
        <v>125</v>
      </c>
      <c r="H50">
        <v>3</v>
      </c>
      <c r="I50" s="10">
        <v>156267894</v>
      </c>
      <c r="J50" s="11">
        <v>1.7000000000000001E-2</v>
      </c>
      <c r="K50" s="10">
        <v>154364000</v>
      </c>
      <c r="L50" s="11">
        <v>5.0000000000000001E-3</v>
      </c>
      <c r="M50" s="10">
        <v>262899188</v>
      </c>
      <c r="N50" s="11">
        <v>0.42499999999999999</v>
      </c>
      <c r="O50" s="12">
        <v>10800</v>
      </c>
      <c r="P50" s="12">
        <v>779.8</v>
      </c>
      <c r="Q50" s="12">
        <v>10800</v>
      </c>
      <c r="R50" s="13"/>
      <c r="S50" s="13"/>
      <c r="T50" s="13"/>
      <c r="U50" s="13"/>
      <c r="V50" s="13"/>
    </row>
    <row r="51" spans="1:22" x14ac:dyDescent="0.25">
      <c r="A51">
        <v>20</v>
      </c>
      <c r="B51">
        <v>10</v>
      </c>
      <c r="C51">
        <v>20</v>
      </c>
      <c r="D51">
        <v>20</v>
      </c>
      <c r="E51">
        <v>20</v>
      </c>
      <c r="F51">
        <v>50</v>
      </c>
      <c r="G51">
        <v>125</v>
      </c>
      <c r="H51">
        <v>5</v>
      </c>
      <c r="I51" s="10">
        <v>278069618</v>
      </c>
      <c r="J51" s="11">
        <v>1</v>
      </c>
      <c r="K51" s="10">
        <v>119459000</v>
      </c>
      <c r="L51" s="11">
        <v>1.2999999999999999E-2</v>
      </c>
      <c r="M51" s="10">
        <v>278069618</v>
      </c>
      <c r="N51" s="11">
        <v>0.58399999999999996</v>
      </c>
      <c r="O51" s="12">
        <v>10800</v>
      </c>
      <c r="P51" s="12">
        <v>2414.4</v>
      </c>
      <c r="Q51" s="12">
        <v>10800</v>
      </c>
      <c r="R51" s="13"/>
      <c r="S51" s="13"/>
      <c r="T51" s="13"/>
      <c r="U51" s="13"/>
      <c r="V51" s="13"/>
    </row>
    <row r="52" spans="1:22" x14ac:dyDescent="0.25">
      <c r="A52">
        <v>21</v>
      </c>
      <c r="B52">
        <v>10</v>
      </c>
      <c r="C52">
        <v>20</v>
      </c>
      <c r="D52">
        <v>20</v>
      </c>
      <c r="E52">
        <v>20</v>
      </c>
      <c r="F52">
        <v>50</v>
      </c>
      <c r="G52">
        <v>125</v>
      </c>
      <c r="H52">
        <v>10</v>
      </c>
      <c r="I52" s="10">
        <v>293238722</v>
      </c>
      <c r="J52" s="11">
        <v>1</v>
      </c>
      <c r="K52" s="10">
        <v>117992000</v>
      </c>
      <c r="L52" s="11">
        <v>1.4E-2</v>
      </c>
      <c r="M52" s="10">
        <v>293238722</v>
      </c>
      <c r="N52" s="11">
        <v>0.63200000000000001</v>
      </c>
      <c r="O52" s="12">
        <v>10800</v>
      </c>
      <c r="P52" s="12">
        <v>7942.7</v>
      </c>
      <c r="Q52" s="12">
        <v>10800</v>
      </c>
      <c r="R52" s="13"/>
      <c r="S52" s="13"/>
      <c r="T52" s="13"/>
      <c r="U52" s="13"/>
      <c r="V52" s="13"/>
    </row>
    <row r="59" spans="1:22" x14ac:dyDescent="0.25">
      <c r="I59" s="23" t="s">
        <v>46</v>
      </c>
      <c r="J59" s="24"/>
      <c r="K59" s="23" t="s">
        <v>51</v>
      </c>
      <c r="L59" s="24"/>
      <c r="M59" s="23" t="s">
        <v>30</v>
      </c>
      <c r="N59" s="24"/>
      <c r="O59" t="s">
        <v>44</v>
      </c>
    </row>
    <row r="60" spans="1:22" x14ac:dyDescent="0.25">
      <c r="A60" t="s">
        <v>33</v>
      </c>
      <c r="B60" t="s">
        <v>38</v>
      </c>
      <c r="C60" t="s">
        <v>39</v>
      </c>
      <c r="D60" t="s">
        <v>40</v>
      </c>
      <c r="E60" t="s">
        <v>41</v>
      </c>
      <c r="F60" t="s">
        <v>42</v>
      </c>
      <c r="G60" t="s">
        <v>43</v>
      </c>
      <c r="H60" t="s">
        <v>4</v>
      </c>
      <c r="I60" t="s">
        <v>49</v>
      </c>
      <c r="J60" t="s">
        <v>37</v>
      </c>
      <c r="K60" t="s">
        <v>49</v>
      </c>
      <c r="L60" t="s">
        <v>37</v>
      </c>
      <c r="M60" t="s">
        <v>49</v>
      </c>
      <c r="N60" t="s">
        <v>37</v>
      </c>
      <c r="O60" t="s">
        <v>45</v>
      </c>
      <c r="P60" t="s">
        <v>47</v>
      </c>
      <c r="Q60" t="s">
        <v>48</v>
      </c>
    </row>
    <row r="61" spans="1:22" x14ac:dyDescent="0.25">
      <c r="A61">
        <v>1</v>
      </c>
      <c r="B61">
        <v>5</v>
      </c>
      <c r="C61">
        <v>10</v>
      </c>
      <c r="D61">
        <v>10</v>
      </c>
      <c r="E61">
        <v>10</v>
      </c>
      <c r="F61">
        <v>20</v>
      </c>
      <c r="G61">
        <v>45</v>
      </c>
      <c r="H61">
        <v>3</v>
      </c>
      <c r="I61" s="10">
        <v>59066885</v>
      </c>
      <c r="J61" s="11">
        <v>2E-3</v>
      </c>
      <c r="K61" s="10">
        <v>59132500</v>
      </c>
      <c r="L61" s="11">
        <v>4.0000000000000001E-3</v>
      </c>
      <c r="M61" s="10">
        <v>59132500</v>
      </c>
      <c r="N61" s="11">
        <v>0</v>
      </c>
      <c r="O61" s="12">
        <v>10800</v>
      </c>
      <c r="P61" s="12">
        <v>31.8</v>
      </c>
      <c r="Q61" s="12">
        <v>154.6</v>
      </c>
      <c r="R61" s="13"/>
      <c r="S61" s="13"/>
      <c r="T61" s="13"/>
      <c r="U61" s="13"/>
      <c r="V61" s="13"/>
    </row>
    <row r="62" spans="1:22" x14ac:dyDescent="0.25">
      <c r="A62">
        <v>2</v>
      </c>
      <c r="B62">
        <v>5</v>
      </c>
      <c r="C62">
        <v>10</v>
      </c>
      <c r="D62">
        <v>10</v>
      </c>
      <c r="E62">
        <v>10</v>
      </c>
      <c r="F62">
        <v>20</v>
      </c>
      <c r="G62">
        <v>45</v>
      </c>
      <c r="H62">
        <v>5</v>
      </c>
      <c r="I62" s="10">
        <v>54784857</v>
      </c>
      <c r="J62" s="11">
        <v>1.2E-2</v>
      </c>
      <c r="K62" s="10">
        <v>54504600</v>
      </c>
      <c r="L62" s="11">
        <v>7.0000000000000001E-3</v>
      </c>
      <c r="M62" s="10">
        <v>54502626</v>
      </c>
      <c r="N62" s="11">
        <v>2E-3</v>
      </c>
      <c r="O62" s="12">
        <v>10800</v>
      </c>
      <c r="P62" s="12">
        <v>293.60000000000002</v>
      </c>
      <c r="Q62" s="12">
        <v>869.9</v>
      </c>
      <c r="R62" s="13"/>
      <c r="S62" s="13"/>
      <c r="T62" s="13"/>
      <c r="U62" s="13"/>
      <c r="V62" s="13"/>
    </row>
    <row r="63" spans="1:22" x14ac:dyDescent="0.25">
      <c r="A63">
        <v>3</v>
      </c>
      <c r="B63">
        <v>5</v>
      </c>
      <c r="C63">
        <v>10</v>
      </c>
      <c r="D63">
        <v>10</v>
      </c>
      <c r="E63">
        <v>10</v>
      </c>
      <c r="F63">
        <v>20</v>
      </c>
      <c r="G63">
        <v>45</v>
      </c>
      <c r="H63">
        <v>10</v>
      </c>
      <c r="I63" s="10">
        <v>61812688</v>
      </c>
      <c r="J63" s="11">
        <v>0.122</v>
      </c>
      <c r="K63" s="10">
        <v>55874900</v>
      </c>
      <c r="L63" s="11">
        <v>1.9E-2</v>
      </c>
      <c r="M63" s="10">
        <v>55104449</v>
      </c>
      <c r="N63" s="11">
        <v>2E-3</v>
      </c>
      <c r="O63" s="12">
        <v>10800</v>
      </c>
      <c r="P63" s="12">
        <v>245.3</v>
      </c>
      <c r="Q63" s="12">
        <v>3798.4</v>
      </c>
      <c r="R63" s="13"/>
      <c r="S63" s="13"/>
      <c r="T63" s="13"/>
      <c r="U63" s="13"/>
      <c r="V63" s="13"/>
    </row>
    <row r="64" spans="1:22" x14ac:dyDescent="0.25">
      <c r="A64">
        <v>4</v>
      </c>
      <c r="B64">
        <v>5</v>
      </c>
      <c r="C64">
        <v>10</v>
      </c>
      <c r="D64">
        <v>10</v>
      </c>
      <c r="E64">
        <v>10</v>
      </c>
      <c r="F64">
        <v>20</v>
      </c>
      <c r="G64">
        <v>80</v>
      </c>
      <c r="H64">
        <v>3</v>
      </c>
      <c r="I64" s="10">
        <v>59141480</v>
      </c>
      <c r="J64" s="11">
        <v>3.0000000000000001E-3</v>
      </c>
      <c r="K64" s="10">
        <v>59132500</v>
      </c>
      <c r="L64" s="11">
        <v>4.0000000000000001E-3</v>
      </c>
      <c r="M64" s="10">
        <v>59132500</v>
      </c>
      <c r="N64" s="11">
        <v>0</v>
      </c>
      <c r="O64" s="12">
        <v>10800</v>
      </c>
      <c r="P64" s="12">
        <v>47.9</v>
      </c>
      <c r="Q64" s="12">
        <v>355.6</v>
      </c>
      <c r="R64" s="13"/>
      <c r="S64" s="13"/>
      <c r="T64" s="13"/>
      <c r="U64" s="13"/>
      <c r="V64" s="13"/>
    </row>
    <row r="65" spans="1:22" x14ac:dyDescent="0.25">
      <c r="A65">
        <v>5</v>
      </c>
      <c r="B65">
        <v>5</v>
      </c>
      <c r="C65">
        <v>10</v>
      </c>
      <c r="D65">
        <v>10</v>
      </c>
      <c r="E65">
        <v>10</v>
      </c>
      <c r="F65">
        <v>20</v>
      </c>
      <c r="G65">
        <v>80</v>
      </c>
      <c r="H65">
        <v>5</v>
      </c>
      <c r="I65" s="10">
        <v>55991306</v>
      </c>
      <c r="J65" s="11">
        <v>3.6999999999999998E-2</v>
      </c>
      <c r="K65" s="10">
        <v>54538800</v>
      </c>
      <c r="L65" s="11">
        <v>8.0000000000000002E-3</v>
      </c>
      <c r="M65" s="10">
        <v>54576079</v>
      </c>
      <c r="N65" s="11">
        <v>3.0000000000000001E-3</v>
      </c>
      <c r="O65" s="12">
        <v>10800</v>
      </c>
      <c r="P65" s="12">
        <v>398.7</v>
      </c>
      <c r="Q65" s="12">
        <v>1478.9</v>
      </c>
      <c r="R65" s="13"/>
      <c r="S65" s="13"/>
      <c r="T65" s="13"/>
      <c r="U65" s="13"/>
      <c r="V65" s="13"/>
    </row>
    <row r="66" spans="1:22" x14ac:dyDescent="0.25">
      <c r="A66">
        <v>6</v>
      </c>
      <c r="B66">
        <v>5</v>
      </c>
      <c r="C66">
        <v>10</v>
      </c>
      <c r="D66">
        <v>10</v>
      </c>
      <c r="E66">
        <v>10</v>
      </c>
      <c r="F66">
        <v>20</v>
      </c>
      <c r="G66">
        <v>80</v>
      </c>
      <c r="H66">
        <v>10</v>
      </c>
      <c r="I66" s="10">
        <v>62262811</v>
      </c>
      <c r="J66" s="11">
        <v>0.128</v>
      </c>
      <c r="K66" s="10">
        <v>55874900</v>
      </c>
      <c r="L66" s="11">
        <v>1.9E-2</v>
      </c>
      <c r="M66" s="10">
        <v>55296938</v>
      </c>
      <c r="N66" s="11">
        <v>6.0000000000000001E-3</v>
      </c>
      <c r="O66" s="12">
        <v>10800</v>
      </c>
      <c r="P66" s="12">
        <v>434.6</v>
      </c>
      <c r="Q66" s="12">
        <v>5681.1</v>
      </c>
      <c r="R66" s="13"/>
      <c r="S66" s="13"/>
      <c r="T66" s="13"/>
      <c r="U66" s="13"/>
      <c r="V66" s="13"/>
    </row>
    <row r="67" spans="1:22" x14ac:dyDescent="0.25">
      <c r="A67">
        <v>7</v>
      </c>
      <c r="B67">
        <v>5</v>
      </c>
      <c r="C67">
        <v>10</v>
      </c>
      <c r="D67">
        <v>10</v>
      </c>
      <c r="E67">
        <v>10</v>
      </c>
      <c r="F67">
        <v>30</v>
      </c>
      <c r="G67">
        <v>80</v>
      </c>
      <c r="H67">
        <v>3</v>
      </c>
      <c r="I67" s="10">
        <v>75397564</v>
      </c>
      <c r="J67" s="11">
        <v>2E-3</v>
      </c>
      <c r="K67" s="10">
        <v>75457300</v>
      </c>
      <c r="L67" s="11">
        <v>6.0000000000000001E-3</v>
      </c>
      <c r="M67" s="10">
        <v>76047900</v>
      </c>
      <c r="N67" s="11">
        <v>8.9999999999999993E-3</v>
      </c>
      <c r="O67" s="12">
        <v>10800</v>
      </c>
      <c r="P67" s="12">
        <v>103.5</v>
      </c>
      <c r="Q67" s="12">
        <v>498.6</v>
      </c>
      <c r="R67" s="13"/>
      <c r="S67" s="13"/>
      <c r="T67" s="13"/>
      <c r="U67" s="13"/>
      <c r="V67" s="13"/>
    </row>
    <row r="68" spans="1:22" x14ac:dyDescent="0.25">
      <c r="A68">
        <v>8</v>
      </c>
      <c r="B68">
        <v>5</v>
      </c>
      <c r="C68">
        <v>10</v>
      </c>
      <c r="D68">
        <v>10</v>
      </c>
      <c r="E68">
        <v>10</v>
      </c>
      <c r="F68">
        <v>30</v>
      </c>
      <c r="G68">
        <v>80</v>
      </c>
      <c r="H68">
        <v>5</v>
      </c>
      <c r="I68" s="10">
        <v>66185304</v>
      </c>
      <c r="J68" s="11">
        <v>1.4E-2</v>
      </c>
      <c r="K68" s="10">
        <v>65961200</v>
      </c>
      <c r="L68" s="11">
        <v>0.01</v>
      </c>
      <c r="M68" s="10">
        <v>66124700</v>
      </c>
      <c r="N68" s="11">
        <v>7.0000000000000001E-3</v>
      </c>
      <c r="O68" s="12">
        <v>10800</v>
      </c>
      <c r="P68" s="12">
        <v>251.7</v>
      </c>
      <c r="Q68" s="12">
        <v>5393.7</v>
      </c>
      <c r="R68" s="13"/>
      <c r="S68" s="13"/>
      <c r="T68" s="13"/>
      <c r="U68" s="13"/>
      <c r="V68" s="13"/>
    </row>
    <row r="69" spans="1:22" x14ac:dyDescent="0.25">
      <c r="A69">
        <v>9</v>
      </c>
      <c r="B69">
        <v>5</v>
      </c>
      <c r="C69">
        <v>10</v>
      </c>
      <c r="D69">
        <v>10</v>
      </c>
      <c r="E69">
        <v>10</v>
      </c>
      <c r="F69">
        <v>30</v>
      </c>
      <c r="G69">
        <v>80</v>
      </c>
      <c r="H69">
        <v>10</v>
      </c>
      <c r="I69" s="10">
        <v>74615646</v>
      </c>
      <c r="J69" s="11">
        <v>9.4E-2</v>
      </c>
      <c r="K69" s="10">
        <v>69944400</v>
      </c>
      <c r="L69" s="11">
        <v>0.02</v>
      </c>
      <c r="M69" s="10">
        <v>169452002</v>
      </c>
      <c r="N69" s="11">
        <v>0.59399999999999997</v>
      </c>
      <c r="O69" s="12">
        <v>10800</v>
      </c>
      <c r="P69" s="12">
        <v>1128.9000000000001</v>
      </c>
      <c r="Q69" s="12">
        <v>10800</v>
      </c>
      <c r="R69" s="13"/>
      <c r="S69" s="13"/>
      <c r="T69" s="13"/>
      <c r="U69" s="13"/>
      <c r="V69" s="13"/>
    </row>
    <row r="70" spans="1:22" x14ac:dyDescent="0.25">
      <c r="A70">
        <v>10</v>
      </c>
      <c r="B70">
        <v>5</v>
      </c>
      <c r="C70">
        <v>20</v>
      </c>
      <c r="D70">
        <v>20</v>
      </c>
      <c r="E70">
        <v>20</v>
      </c>
      <c r="F70">
        <v>30</v>
      </c>
      <c r="G70">
        <v>80</v>
      </c>
      <c r="H70">
        <v>3</v>
      </c>
      <c r="I70" s="10">
        <v>73090199</v>
      </c>
      <c r="J70" s="11">
        <v>6.0000000000000001E-3</v>
      </c>
      <c r="K70" s="10">
        <v>73108200</v>
      </c>
      <c r="L70" s="11">
        <v>6.0000000000000001E-3</v>
      </c>
      <c r="M70" s="10">
        <v>118529799</v>
      </c>
      <c r="N70" s="11">
        <v>0.442</v>
      </c>
      <c r="O70" s="12">
        <v>10800</v>
      </c>
      <c r="P70" s="12">
        <v>393.9</v>
      </c>
      <c r="Q70" s="12">
        <v>10800</v>
      </c>
      <c r="R70" s="13"/>
      <c r="S70" s="13"/>
      <c r="T70" s="13"/>
      <c r="U70" s="13"/>
      <c r="V70" s="13"/>
    </row>
    <row r="71" spans="1:22" x14ac:dyDescent="0.25">
      <c r="A71">
        <v>11</v>
      </c>
      <c r="B71">
        <v>5</v>
      </c>
      <c r="C71">
        <v>20</v>
      </c>
      <c r="D71">
        <v>20</v>
      </c>
      <c r="E71">
        <v>20</v>
      </c>
      <c r="F71">
        <v>30</v>
      </c>
      <c r="G71">
        <v>80</v>
      </c>
      <c r="H71">
        <v>5</v>
      </c>
      <c r="I71" s="10">
        <v>132893641</v>
      </c>
      <c r="J71" s="11">
        <v>0.51900000000000002</v>
      </c>
      <c r="K71" s="10">
        <v>64946300</v>
      </c>
      <c r="L71" s="11">
        <v>1.6E-2</v>
      </c>
      <c r="M71" s="10">
        <v>132893641</v>
      </c>
      <c r="N71" s="11">
        <v>0.55200000000000005</v>
      </c>
      <c r="O71" s="12">
        <v>10800</v>
      </c>
      <c r="P71" s="12">
        <v>1298.5</v>
      </c>
      <c r="Q71" s="12">
        <v>10800</v>
      </c>
      <c r="R71" s="13"/>
      <c r="S71" s="13"/>
      <c r="T71" s="13"/>
      <c r="U71" s="13"/>
      <c r="V71" s="13"/>
    </row>
    <row r="72" spans="1:22" x14ac:dyDescent="0.25">
      <c r="A72">
        <v>12</v>
      </c>
      <c r="B72">
        <v>5</v>
      </c>
      <c r="C72">
        <v>20</v>
      </c>
      <c r="D72">
        <v>20</v>
      </c>
      <c r="E72">
        <v>20</v>
      </c>
      <c r="F72">
        <v>30</v>
      </c>
      <c r="G72">
        <v>80</v>
      </c>
      <c r="H72">
        <v>10</v>
      </c>
      <c r="I72" s="10">
        <v>169452002</v>
      </c>
      <c r="J72" s="11">
        <v>1</v>
      </c>
      <c r="K72" s="10">
        <v>70250100</v>
      </c>
      <c r="L72" s="11">
        <v>0.02</v>
      </c>
      <c r="M72" s="10">
        <v>169452002</v>
      </c>
      <c r="N72" s="11">
        <v>0.60099999999999998</v>
      </c>
      <c r="O72" s="12">
        <v>10800</v>
      </c>
      <c r="P72" s="12">
        <v>4052.4</v>
      </c>
      <c r="Q72" s="12">
        <v>10800</v>
      </c>
      <c r="R72" s="13"/>
      <c r="S72" s="13"/>
      <c r="T72" s="13"/>
      <c r="U72" s="13"/>
      <c r="V72" s="13"/>
    </row>
    <row r="73" spans="1:22" x14ac:dyDescent="0.25">
      <c r="A73">
        <v>13</v>
      </c>
      <c r="B73">
        <v>10</v>
      </c>
      <c r="C73">
        <v>20</v>
      </c>
      <c r="D73">
        <v>20</v>
      </c>
      <c r="E73">
        <v>20</v>
      </c>
      <c r="F73">
        <v>30</v>
      </c>
      <c r="G73">
        <v>80</v>
      </c>
      <c r="H73">
        <v>3</v>
      </c>
      <c r="I73" s="10">
        <v>72261000</v>
      </c>
      <c r="J73" s="11">
        <v>1.6E-2</v>
      </c>
      <c r="K73" s="10">
        <v>71662600</v>
      </c>
      <c r="L73" s="11">
        <v>7.0000000000000001E-3</v>
      </c>
      <c r="M73" s="10">
        <v>118529799</v>
      </c>
      <c r="N73" s="11">
        <v>0.44400000000000001</v>
      </c>
      <c r="O73" s="12">
        <v>10800</v>
      </c>
      <c r="P73" s="12">
        <v>535.6</v>
      </c>
      <c r="Q73" s="12">
        <v>10800</v>
      </c>
      <c r="R73" s="13"/>
      <c r="S73" s="13"/>
      <c r="T73" s="13"/>
      <c r="U73" s="13"/>
      <c r="V73" s="13"/>
    </row>
    <row r="74" spans="1:22" x14ac:dyDescent="0.25">
      <c r="A74">
        <v>14</v>
      </c>
      <c r="B74">
        <v>10</v>
      </c>
      <c r="C74">
        <v>20</v>
      </c>
      <c r="D74">
        <v>20</v>
      </c>
      <c r="E74">
        <v>20</v>
      </c>
      <c r="F74">
        <v>30</v>
      </c>
      <c r="G74">
        <v>80</v>
      </c>
      <c r="H74">
        <v>5</v>
      </c>
      <c r="I74" s="10">
        <v>131890000</v>
      </c>
      <c r="J74" s="11">
        <v>0.54600000000000004</v>
      </c>
      <c r="K74" s="10">
        <v>60758300</v>
      </c>
      <c r="L74" s="11">
        <v>1.4999999999999999E-2</v>
      </c>
      <c r="M74" s="10">
        <v>130893641</v>
      </c>
      <c r="N74" s="11">
        <v>0.56899999999999995</v>
      </c>
      <c r="O74" s="12">
        <v>10800</v>
      </c>
      <c r="P74" s="12">
        <v>1804.8</v>
      </c>
      <c r="Q74" s="12">
        <v>10800</v>
      </c>
      <c r="R74" s="13"/>
      <c r="S74" s="13"/>
      <c r="T74" s="13"/>
      <c r="U74" s="13"/>
      <c r="V74" s="13"/>
    </row>
    <row r="75" spans="1:22" x14ac:dyDescent="0.25">
      <c r="A75">
        <v>15</v>
      </c>
      <c r="B75">
        <v>10</v>
      </c>
      <c r="C75">
        <v>20</v>
      </c>
      <c r="D75">
        <v>20</v>
      </c>
      <c r="E75">
        <v>20</v>
      </c>
      <c r="F75">
        <v>30</v>
      </c>
      <c r="G75">
        <v>80</v>
      </c>
      <c r="H75">
        <v>10</v>
      </c>
      <c r="I75" s="10">
        <v>169450000</v>
      </c>
      <c r="J75" s="11">
        <v>1</v>
      </c>
      <c r="K75" s="10">
        <v>69177900</v>
      </c>
      <c r="L75" s="11">
        <v>0.02</v>
      </c>
      <c r="M75" s="10">
        <v>164452002</v>
      </c>
      <c r="N75" s="11">
        <v>0.59</v>
      </c>
      <c r="O75" s="12">
        <v>10800</v>
      </c>
      <c r="P75" s="12">
        <v>6448</v>
      </c>
      <c r="Q75" s="12">
        <v>10800</v>
      </c>
      <c r="R75" s="13"/>
      <c r="S75" s="13"/>
      <c r="T75" s="13"/>
      <c r="U75" s="13"/>
      <c r="V75" s="13"/>
    </row>
    <row r="76" spans="1:22" x14ac:dyDescent="0.25">
      <c r="A76">
        <v>16</v>
      </c>
      <c r="B76">
        <v>10</v>
      </c>
      <c r="C76">
        <v>20</v>
      </c>
      <c r="D76">
        <v>20</v>
      </c>
      <c r="E76">
        <v>20</v>
      </c>
      <c r="F76">
        <v>50</v>
      </c>
      <c r="G76">
        <v>80</v>
      </c>
      <c r="H76">
        <v>3</v>
      </c>
      <c r="I76" s="10">
        <v>193628449</v>
      </c>
      <c r="J76" s="11">
        <v>0.433</v>
      </c>
      <c r="K76" s="10">
        <v>111232000</v>
      </c>
      <c r="L76" s="11">
        <v>1.2E-2</v>
      </c>
      <c r="M76" s="10">
        <v>193628449</v>
      </c>
      <c r="N76" s="11">
        <v>0.44</v>
      </c>
      <c r="O76" s="12">
        <v>10800</v>
      </c>
      <c r="P76" s="12">
        <v>436.4</v>
      </c>
      <c r="Q76" s="12">
        <v>10800</v>
      </c>
      <c r="R76" s="13"/>
      <c r="S76" s="13"/>
      <c r="T76" s="13"/>
      <c r="U76" s="13"/>
      <c r="V76" s="13"/>
    </row>
    <row r="77" spans="1:22" x14ac:dyDescent="0.25">
      <c r="A77">
        <v>17</v>
      </c>
      <c r="B77">
        <v>10</v>
      </c>
      <c r="C77">
        <v>20</v>
      </c>
      <c r="D77">
        <v>20</v>
      </c>
      <c r="E77">
        <v>20</v>
      </c>
      <c r="F77">
        <v>50</v>
      </c>
      <c r="G77">
        <v>80</v>
      </c>
      <c r="H77">
        <v>5</v>
      </c>
      <c r="I77" s="10">
        <v>226961065</v>
      </c>
      <c r="J77" s="11">
        <v>1</v>
      </c>
      <c r="K77" s="10">
        <v>102640471</v>
      </c>
      <c r="L77" s="11">
        <v>1.4999999999999999E-2</v>
      </c>
      <c r="M77" s="10">
        <v>226961065</v>
      </c>
      <c r="N77" s="11">
        <v>0.59299999999999997</v>
      </c>
      <c r="O77" s="12">
        <v>10800</v>
      </c>
      <c r="P77" s="12">
        <v>4372.7</v>
      </c>
      <c r="Q77" s="12">
        <v>10800</v>
      </c>
      <c r="R77" s="13"/>
      <c r="S77" s="13"/>
      <c r="T77" s="13"/>
      <c r="U77" s="13"/>
      <c r="V77" s="13"/>
    </row>
    <row r="78" spans="1:22" x14ac:dyDescent="0.25">
      <c r="A78">
        <v>18</v>
      </c>
      <c r="B78">
        <v>10</v>
      </c>
      <c r="C78">
        <v>20</v>
      </c>
      <c r="D78">
        <v>20</v>
      </c>
      <c r="E78">
        <v>20</v>
      </c>
      <c r="F78">
        <v>50</v>
      </c>
      <c r="G78">
        <v>80</v>
      </c>
      <c r="H78">
        <v>10</v>
      </c>
      <c r="I78" s="10">
        <v>268600322</v>
      </c>
      <c r="J78" s="11">
        <v>1</v>
      </c>
      <c r="K78" s="10">
        <v>108619000</v>
      </c>
      <c r="L78" s="11">
        <v>1.7999999999999999E-2</v>
      </c>
      <c r="M78" s="10">
        <v>268600322</v>
      </c>
      <c r="N78" s="11">
        <v>0.63</v>
      </c>
      <c r="O78" s="12">
        <v>10800</v>
      </c>
      <c r="P78" s="12">
        <v>3757</v>
      </c>
      <c r="Q78" s="12">
        <v>10800</v>
      </c>
      <c r="R78" s="13"/>
      <c r="S78" s="13"/>
      <c r="T78" s="13"/>
      <c r="U78" s="13"/>
      <c r="V78" s="13"/>
    </row>
    <row r="79" spans="1:22" x14ac:dyDescent="0.25">
      <c r="A79">
        <v>19</v>
      </c>
      <c r="B79">
        <v>10</v>
      </c>
      <c r="C79">
        <v>20</v>
      </c>
      <c r="D79">
        <v>20</v>
      </c>
      <c r="E79">
        <v>20</v>
      </c>
      <c r="F79">
        <v>50</v>
      </c>
      <c r="G79">
        <v>125</v>
      </c>
      <c r="H79">
        <v>3</v>
      </c>
      <c r="I79" s="10">
        <v>228145134</v>
      </c>
      <c r="J79" s="11">
        <v>1</v>
      </c>
      <c r="K79" s="10">
        <v>135258000</v>
      </c>
      <c r="L79" s="11">
        <v>4.0000000000000001E-3</v>
      </c>
      <c r="M79" s="10">
        <v>228145134</v>
      </c>
      <c r="N79" s="11">
        <v>0.433</v>
      </c>
      <c r="O79" s="12">
        <v>10800</v>
      </c>
      <c r="P79" s="12">
        <v>505</v>
      </c>
      <c r="Q79" s="12">
        <v>10800</v>
      </c>
      <c r="R79" s="13"/>
      <c r="S79" s="13"/>
      <c r="T79" s="13"/>
      <c r="U79" s="13"/>
      <c r="V79" s="13"/>
    </row>
    <row r="80" spans="1:22" x14ac:dyDescent="0.25">
      <c r="A80">
        <v>20</v>
      </c>
      <c r="B80">
        <v>10</v>
      </c>
      <c r="C80">
        <v>20</v>
      </c>
      <c r="D80">
        <v>20</v>
      </c>
      <c r="E80">
        <v>20</v>
      </c>
      <c r="F80">
        <v>50</v>
      </c>
      <c r="G80">
        <v>125</v>
      </c>
      <c r="H80">
        <v>5</v>
      </c>
      <c r="I80" s="10">
        <v>254717498</v>
      </c>
      <c r="J80" s="11">
        <v>1</v>
      </c>
      <c r="K80" s="10">
        <v>117771000</v>
      </c>
      <c r="L80" s="11">
        <v>1.0999999999999999E-2</v>
      </c>
      <c r="M80" s="10">
        <v>254717498</v>
      </c>
      <c r="N80" s="11">
        <v>0.58699999999999997</v>
      </c>
      <c r="O80" s="12">
        <v>10800</v>
      </c>
      <c r="P80" s="12">
        <v>1991.2</v>
      </c>
      <c r="Q80" s="12">
        <v>10800</v>
      </c>
      <c r="R80" s="13"/>
      <c r="S80" s="13"/>
      <c r="T80" s="13"/>
      <c r="U80" s="13"/>
      <c r="V80" s="13"/>
    </row>
    <row r="81" spans="1:22" x14ac:dyDescent="0.25">
      <c r="A81">
        <v>21</v>
      </c>
      <c r="B81">
        <v>10</v>
      </c>
      <c r="C81">
        <v>20</v>
      </c>
      <c r="D81">
        <v>20</v>
      </c>
      <c r="E81">
        <v>20</v>
      </c>
      <c r="F81">
        <v>50</v>
      </c>
      <c r="G81">
        <v>125</v>
      </c>
      <c r="H81">
        <v>10</v>
      </c>
      <c r="I81" s="10">
        <v>268600322</v>
      </c>
      <c r="J81" s="11">
        <v>1</v>
      </c>
      <c r="K81" s="10">
        <v>108530000</v>
      </c>
      <c r="L81" s="11">
        <v>1.7999999999999999E-2</v>
      </c>
      <c r="M81" s="10">
        <v>268600322</v>
      </c>
      <c r="N81" s="11">
        <v>0.63100000000000001</v>
      </c>
      <c r="O81" s="12">
        <v>10800</v>
      </c>
      <c r="P81" s="12">
        <v>5565.3</v>
      </c>
      <c r="Q81" s="12">
        <v>10800</v>
      </c>
      <c r="R81" s="13"/>
      <c r="S81" s="13"/>
      <c r="T81" s="13"/>
      <c r="U81" s="13"/>
      <c r="V81" s="13"/>
    </row>
    <row r="88" spans="1:22" x14ac:dyDescent="0.25">
      <c r="I88" s="23" t="s">
        <v>46</v>
      </c>
      <c r="J88" s="24"/>
      <c r="K88" s="23" t="s">
        <v>51</v>
      </c>
      <c r="L88" s="24"/>
      <c r="M88" s="23" t="s">
        <v>30</v>
      </c>
      <c r="N88" s="24"/>
      <c r="O88" t="s">
        <v>44</v>
      </c>
    </row>
    <row r="89" spans="1:22" x14ac:dyDescent="0.25">
      <c r="A89" t="s">
        <v>34</v>
      </c>
      <c r="B89" t="s">
        <v>38</v>
      </c>
      <c r="C89" t="s">
        <v>39</v>
      </c>
      <c r="D89" t="s">
        <v>40</v>
      </c>
      <c r="E89" t="s">
        <v>41</v>
      </c>
      <c r="F89" t="s">
        <v>42</v>
      </c>
      <c r="G89" t="s">
        <v>43</v>
      </c>
      <c r="H89" t="s">
        <v>4</v>
      </c>
      <c r="I89" t="s">
        <v>49</v>
      </c>
      <c r="J89" t="s">
        <v>37</v>
      </c>
      <c r="K89" t="s">
        <v>49</v>
      </c>
      <c r="L89" t="s">
        <v>37</v>
      </c>
      <c r="M89" t="s">
        <v>49</v>
      </c>
      <c r="N89" t="s">
        <v>37</v>
      </c>
      <c r="O89" t="s">
        <v>45</v>
      </c>
      <c r="P89" t="s">
        <v>47</v>
      </c>
      <c r="Q89" t="s">
        <v>48</v>
      </c>
    </row>
    <row r="90" spans="1:22" x14ac:dyDescent="0.25">
      <c r="A90">
        <v>1</v>
      </c>
      <c r="B90">
        <v>5</v>
      </c>
      <c r="C90">
        <v>10</v>
      </c>
      <c r="D90">
        <v>10</v>
      </c>
      <c r="E90">
        <v>10</v>
      </c>
      <c r="F90">
        <v>20</v>
      </c>
      <c r="G90">
        <v>45</v>
      </c>
      <c r="H90">
        <v>3</v>
      </c>
      <c r="I90" s="10">
        <v>61947613</v>
      </c>
      <c r="J90" s="11">
        <v>4.0000000000000001E-3</v>
      </c>
      <c r="K90" s="10">
        <v>61885300</v>
      </c>
      <c r="L90" s="11">
        <v>4.0000000000000001E-3</v>
      </c>
      <c r="M90" s="10">
        <v>61897900</v>
      </c>
      <c r="N90" s="11">
        <v>0</v>
      </c>
      <c r="O90" s="12">
        <v>10800</v>
      </c>
      <c r="P90" s="12">
        <v>21.6</v>
      </c>
      <c r="Q90" s="12">
        <v>212.8</v>
      </c>
      <c r="R90" s="13"/>
      <c r="S90" s="13"/>
      <c r="T90" s="13"/>
      <c r="U90" s="13"/>
      <c r="V90" s="13"/>
    </row>
    <row r="91" spans="1:22" x14ac:dyDescent="0.25">
      <c r="A91">
        <v>2</v>
      </c>
      <c r="B91">
        <v>5</v>
      </c>
      <c r="C91">
        <v>10</v>
      </c>
      <c r="D91">
        <v>10</v>
      </c>
      <c r="E91">
        <v>10</v>
      </c>
      <c r="F91">
        <v>20</v>
      </c>
      <c r="G91">
        <v>45</v>
      </c>
      <c r="H91">
        <v>5</v>
      </c>
      <c r="I91" s="10">
        <v>56413289</v>
      </c>
      <c r="J91" s="11">
        <v>5.0000000000000001E-3</v>
      </c>
      <c r="K91" s="10">
        <v>56631300</v>
      </c>
      <c r="L91" s="11">
        <v>1.2E-2</v>
      </c>
      <c r="M91" s="10">
        <v>56598400</v>
      </c>
      <c r="N91" s="11">
        <v>4.0000000000000001E-3</v>
      </c>
      <c r="O91" s="12">
        <v>10800</v>
      </c>
      <c r="P91" s="12">
        <v>49.9</v>
      </c>
      <c r="Q91" s="12">
        <v>450.4</v>
      </c>
      <c r="R91" s="13"/>
      <c r="S91" s="13"/>
      <c r="T91" s="13"/>
      <c r="U91" s="13"/>
      <c r="V91" s="13"/>
    </row>
    <row r="92" spans="1:22" x14ac:dyDescent="0.25">
      <c r="A92">
        <v>3</v>
      </c>
      <c r="B92">
        <v>5</v>
      </c>
      <c r="C92">
        <v>10</v>
      </c>
      <c r="D92">
        <v>10</v>
      </c>
      <c r="E92">
        <v>10</v>
      </c>
      <c r="F92">
        <v>20</v>
      </c>
      <c r="G92">
        <v>45</v>
      </c>
      <c r="H92">
        <v>10</v>
      </c>
      <c r="I92" s="10">
        <v>57466682</v>
      </c>
      <c r="J92" s="11">
        <v>0.10299999999999999</v>
      </c>
      <c r="K92" s="10">
        <v>52887900</v>
      </c>
      <c r="L92" s="11">
        <v>1.7999999999999999E-2</v>
      </c>
      <c r="M92" s="10">
        <v>52352427</v>
      </c>
      <c r="N92" s="11">
        <v>7.0000000000000001E-3</v>
      </c>
      <c r="O92" s="12">
        <v>10800</v>
      </c>
      <c r="P92" s="12">
        <v>180.1</v>
      </c>
      <c r="Q92" s="12">
        <v>1780.2</v>
      </c>
      <c r="R92" s="13"/>
      <c r="S92" s="13"/>
      <c r="T92" s="13"/>
      <c r="U92" s="13"/>
      <c r="V92" s="13"/>
    </row>
    <row r="93" spans="1:22" x14ac:dyDescent="0.25">
      <c r="A93">
        <v>4</v>
      </c>
      <c r="B93">
        <v>5</v>
      </c>
      <c r="C93">
        <v>10</v>
      </c>
      <c r="D93">
        <v>10</v>
      </c>
      <c r="E93">
        <v>10</v>
      </c>
      <c r="F93">
        <v>20</v>
      </c>
      <c r="G93">
        <v>80</v>
      </c>
      <c r="H93">
        <v>3</v>
      </c>
      <c r="I93" s="10">
        <v>66206873</v>
      </c>
      <c r="J93" s="11">
        <v>3.0000000000000001E-3</v>
      </c>
      <c r="K93" s="10">
        <v>66217271</v>
      </c>
      <c r="L93" s="11">
        <v>4.0000000000000001E-3</v>
      </c>
      <c r="M93" s="10">
        <v>66230753</v>
      </c>
      <c r="N93" s="11">
        <v>0</v>
      </c>
      <c r="O93" s="12">
        <v>10800</v>
      </c>
      <c r="P93" s="12">
        <v>33.799999999999997</v>
      </c>
      <c r="Q93" s="12">
        <v>420.5</v>
      </c>
      <c r="R93" s="13"/>
      <c r="S93" s="13"/>
      <c r="T93" s="13"/>
      <c r="U93" s="13"/>
      <c r="V93" s="13"/>
    </row>
    <row r="94" spans="1:22" x14ac:dyDescent="0.25">
      <c r="A94">
        <v>5</v>
      </c>
      <c r="B94">
        <v>5</v>
      </c>
      <c r="C94">
        <v>10</v>
      </c>
      <c r="D94">
        <v>10</v>
      </c>
      <c r="E94">
        <v>10</v>
      </c>
      <c r="F94">
        <v>20</v>
      </c>
      <c r="G94">
        <v>80</v>
      </c>
      <c r="H94">
        <v>5</v>
      </c>
      <c r="I94" s="10">
        <v>65542247</v>
      </c>
      <c r="J94" s="11">
        <v>3.5000000000000003E-2</v>
      </c>
      <c r="K94" s="10">
        <v>63959356</v>
      </c>
      <c r="L94" s="11">
        <v>1.2E-2</v>
      </c>
      <c r="M94" s="10">
        <v>63887375</v>
      </c>
      <c r="N94" s="11">
        <v>3.0000000000000001E-3</v>
      </c>
      <c r="O94" s="12">
        <v>10800</v>
      </c>
      <c r="P94" s="12">
        <v>113.4</v>
      </c>
      <c r="Q94" s="12">
        <v>1082.5999999999999</v>
      </c>
      <c r="R94" s="13"/>
      <c r="S94" s="13"/>
      <c r="T94" s="13"/>
      <c r="U94" s="13"/>
      <c r="V94" s="13"/>
    </row>
    <row r="95" spans="1:22" x14ac:dyDescent="0.25">
      <c r="A95">
        <v>6</v>
      </c>
      <c r="B95">
        <v>5</v>
      </c>
      <c r="C95">
        <v>10</v>
      </c>
      <c r="D95">
        <v>10</v>
      </c>
      <c r="E95">
        <v>10</v>
      </c>
      <c r="F95">
        <v>20</v>
      </c>
      <c r="G95">
        <v>80</v>
      </c>
      <c r="H95">
        <v>10</v>
      </c>
      <c r="I95" s="10">
        <v>72227811</v>
      </c>
      <c r="J95" s="11">
        <v>0.109</v>
      </c>
      <c r="K95" s="10">
        <v>66141750</v>
      </c>
      <c r="L95" s="11">
        <v>1.7999999999999999E-2</v>
      </c>
      <c r="M95" s="10">
        <v>65569086</v>
      </c>
      <c r="N95" s="11">
        <v>8.9999999999999993E-3</v>
      </c>
      <c r="O95" s="12">
        <v>10800</v>
      </c>
      <c r="P95" s="12">
        <v>485.6</v>
      </c>
      <c r="Q95" s="12">
        <v>2387.1</v>
      </c>
      <c r="R95" s="13"/>
      <c r="S95" s="13"/>
      <c r="T95" s="13"/>
      <c r="U95" s="13"/>
      <c r="V95" s="13"/>
    </row>
    <row r="96" spans="1:22" x14ac:dyDescent="0.25">
      <c r="A96">
        <v>7</v>
      </c>
      <c r="B96">
        <v>5</v>
      </c>
      <c r="C96">
        <v>10</v>
      </c>
      <c r="D96">
        <v>10</v>
      </c>
      <c r="E96">
        <v>10</v>
      </c>
      <c r="F96">
        <v>30</v>
      </c>
      <c r="G96">
        <v>80</v>
      </c>
      <c r="H96">
        <v>3</v>
      </c>
      <c r="I96" s="10">
        <v>90242725</v>
      </c>
      <c r="J96" s="11">
        <v>4.0000000000000001E-3</v>
      </c>
      <c r="K96" s="10">
        <v>90238600</v>
      </c>
      <c r="L96" s="11">
        <v>4.0000000000000001E-3</v>
      </c>
      <c r="M96" s="10">
        <v>90278300</v>
      </c>
      <c r="N96" s="11">
        <v>0</v>
      </c>
      <c r="O96" s="12">
        <v>10800</v>
      </c>
      <c r="P96" s="12">
        <v>68.2</v>
      </c>
      <c r="Q96" s="12">
        <v>627</v>
      </c>
      <c r="R96" s="13"/>
      <c r="S96" s="13"/>
      <c r="T96" s="13"/>
      <c r="U96" s="13"/>
      <c r="V96" s="13"/>
    </row>
    <row r="97" spans="1:22" x14ac:dyDescent="0.25">
      <c r="A97">
        <v>8</v>
      </c>
      <c r="B97">
        <v>5</v>
      </c>
      <c r="C97">
        <v>10</v>
      </c>
      <c r="D97">
        <v>10</v>
      </c>
      <c r="E97">
        <v>10</v>
      </c>
      <c r="F97">
        <v>30</v>
      </c>
      <c r="G97">
        <v>80</v>
      </c>
      <c r="H97">
        <v>5</v>
      </c>
      <c r="I97" s="10">
        <v>78693476</v>
      </c>
      <c r="J97" s="11">
        <v>1.4999999999999999E-2</v>
      </c>
      <c r="K97" s="10">
        <v>78357400</v>
      </c>
      <c r="L97" s="11">
        <v>1.0999999999999999E-2</v>
      </c>
      <c r="M97" s="10">
        <v>78292100</v>
      </c>
      <c r="N97" s="11">
        <v>3.0000000000000001E-3</v>
      </c>
      <c r="O97" s="12">
        <v>10800</v>
      </c>
      <c r="P97" s="12">
        <v>174</v>
      </c>
      <c r="Q97" s="12">
        <v>1309.4000000000001</v>
      </c>
      <c r="R97" s="13"/>
      <c r="S97" s="13"/>
      <c r="T97" s="13"/>
      <c r="U97" s="13"/>
      <c r="V97" s="13"/>
    </row>
    <row r="98" spans="1:22" x14ac:dyDescent="0.25">
      <c r="A98">
        <v>9</v>
      </c>
      <c r="B98">
        <v>5</v>
      </c>
      <c r="C98">
        <v>10</v>
      </c>
      <c r="D98">
        <v>10</v>
      </c>
      <c r="E98">
        <v>10</v>
      </c>
      <c r="F98">
        <v>30</v>
      </c>
      <c r="G98">
        <v>80</v>
      </c>
      <c r="H98">
        <v>10</v>
      </c>
      <c r="I98" s="10">
        <v>85865520</v>
      </c>
      <c r="J98" s="11">
        <v>0.16200000000000001</v>
      </c>
      <c r="K98" s="10">
        <v>74666800</v>
      </c>
      <c r="L98" s="11">
        <v>1.9E-2</v>
      </c>
      <c r="M98" s="10">
        <v>182885402</v>
      </c>
      <c r="N98" s="11">
        <v>0.59899999999999998</v>
      </c>
      <c r="O98" s="12">
        <v>10800</v>
      </c>
      <c r="P98" s="12">
        <v>837.2</v>
      </c>
      <c r="Q98" s="12">
        <v>10800</v>
      </c>
      <c r="R98" s="13"/>
      <c r="S98" s="13"/>
      <c r="T98" s="13"/>
      <c r="U98" s="13"/>
      <c r="V98" s="13"/>
    </row>
    <row r="99" spans="1:22" x14ac:dyDescent="0.25">
      <c r="A99">
        <v>10</v>
      </c>
      <c r="B99">
        <v>5</v>
      </c>
      <c r="C99">
        <v>20</v>
      </c>
      <c r="D99">
        <v>20</v>
      </c>
      <c r="E99">
        <v>20</v>
      </c>
      <c r="F99">
        <v>30</v>
      </c>
      <c r="G99">
        <v>80</v>
      </c>
      <c r="H99">
        <v>3</v>
      </c>
      <c r="I99" s="10">
        <v>88348793</v>
      </c>
      <c r="J99" s="11">
        <v>1.4E-2</v>
      </c>
      <c r="K99" s="10">
        <v>87669200</v>
      </c>
      <c r="L99" s="11">
        <v>7.0000000000000001E-3</v>
      </c>
      <c r="M99" s="10">
        <v>146483251</v>
      </c>
      <c r="N99" s="11">
        <v>0.40300000000000002</v>
      </c>
      <c r="O99" s="12">
        <v>10800</v>
      </c>
      <c r="P99" s="12">
        <v>225.7</v>
      </c>
      <c r="Q99" s="12">
        <v>10800</v>
      </c>
      <c r="R99" s="13"/>
      <c r="S99" s="13"/>
      <c r="T99" s="13"/>
      <c r="U99" s="13"/>
      <c r="V99" s="13"/>
    </row>
    <row r="100" spans="1:22" x14ac:dyDescent="0.25">
      <c r="A100">
        <v>11</v>
      </c>
      <c r="B100">
        <v>5</v>
      </c>
      <c r="C100">
        <v>20</v>
      </c>
      <c r="D100">
        <v>20</v>
      </c>
      <c r="E100">
        <v>20</v>
      </c>
      <c r="F100">
        <v>30</v>
      </c>
      <c r="G100">
        <v>80</v>
      </c>
      <c r="H100">
        <v>5</v>
      </c>
      <c r="I100" s="10">
        <v>160936777</v>
      </c>
      <c r="J100" s="11">
        <v>0.53600000000000003</v>
      </c>
      <c r="K100" s="10">
        <v>75646100</v>
      </c>
      <c r="L100" s="11">
        <v>1.2E-2</v>
      </c>
      <c r="M100" s="10">
        <v>160936777</v>
      </c>
      <c r="N100" s="11">
        <v>0.53500000000000003</v>
      </c>
      <c r="O100" s="12">
        <v>10800</v>
      </c>
      <c r="P100" s="12">
        <v>646.29999999999995</v>
      </c>
      <c r="Q100" s="12">
        <v>10800</v>
      </c>
      <c r="R100" s="13"/>
      <c r="S100" s="13"/>
      <c r="T100" s="13"/>
      <c r="U100" s="13"/>
      <c r="V100" s="13"/>
    </row>
    <row r="101" spans="1:22" x14ac:dyDescent="0.25">
      <c r="A101">
        <v>12</v>
      </c>
      <c r="B101">
        <v>5</v>
      </c>
      <c r="C101">
        <v>20</v>
      </c>
      <c r="D101">
        <v>20</v>
      </c>
      <c r="E101">
        <v>20</v>
      </c>
      <c r="F101">
        <v>30</v>
      </c>
      <c r="G101">
        <v>80</v>
      </c>
      <c r="H101">
        <v>10</v>
      </c>
      <c r="I101" s="10">
        <v>182885402</v>
      </c>
      <c r="J101" s="11">
        <v>0.60499999999999998</v>
      </c>
      <c r="K101" s="10">
        <v>73744600</v>
      </c>
      <c r="L101" s="11">
        <v>0.02</v>
      </c>
      <c r="M101" s="10">
        <v>182885402</v>
      </c>
      <c r="N101" s="11">
        <v>0.60499999999999998</v>
      </c>
      <c r="O101" s="12">
        <v>10800</v>
      </c>
      <c r="P101" s="12">
        <v>4597.3</v>
      </c>
      <c r="Q101" s="12">
        <v>10800</v>
      </c>
      <c r="R101" s="13"/>
      <c r="S101" s="13"/>
      <c r="T101" s="13"/>
      <c r="U101" s="13"/>
      <c r="V101" s="13"/>
    </row>
    <row r="102" spans="1:22" x14ac:dyDescent="0.25">
      <c r="A102">
        <v>13</v>
      </c>
      <c r="B102">
        <v>10</v>
      </c>
      <c r="C102">
        <v>20</v>
      </c>
      <c r="D102">
        <v>20</v>
      </c>
      <c r="E102">
        <v>20</v>
      </c>
      <c r="F102">
        <v>30</v>
      </c>
      <c r="G102">
        <v>80</v>
      </c>
      <c r="H102">
        <v>3</v>
      </c>
      <c r="I102" s="10">
        <v>88038000</v>
      </c>
      <c r="J102" s="11">
        <v>1.4999999999999999E-2</v>
      </c>
      <c r="K102" s="10">
        <v>87293000</v>
      </c>
      <c r="L102" s="11">
        <v>6.0000000000000001E-3</v>
      </c>
      <c r="M102" s="10">
        <v>146483251</v>
      </c>
      <c r="N102" s="11">
        <v>0.40500000000000003</v>
      </c>
      <c r="O102" s="12">
        <v>10800</v>
      </c>
      <c r="P102" s="12">
        <v>220.9</v>
      </c>
      <c r="Q102" s="12">
        <v>10800</v>
      </c>
      <c r="R102" s="13"/>
      <c r="S102" s="13"/>
      <c r="T102" s="13"/>
      <c r="U102" s="13"/>
      <c r="V102" s="13"/>
    </row>
    <row r="103" spans="1:22" x14ac:dyDescent="0.25">
      <c r="A103">
        <v>14</v>
      </c>
      <c r="B103">
        <v>10</v>
      </c>
      <c r="C103">
        <v>20</v>
      </c>
      <c r="D103">
        <v>20</v>
      </c>
      <c r="E103">
        <v>20</v>
      </c>
      <c r="F103">
        <v>30</v>
      </c>
      <c r="G103">
        <v>80</v>
      </c>
      <c r="H103">
        <v>5</v>
      </c>
      <c r="I103" s="10">
        <v>159240000</v>
      </c>
      <c r="J103" s="11">
        <v>0.55200000000000005</v>
      </c>
      <c r="K103" s="10">
        <v>72493900</v>
      </c>
      <c r="L103" s="11">
        <v>1.2E-2</v>
      </c>
      <c r="M103" s="10">
        <v>157936777</v>
      </c>
      <c r="N103" s="11">
        <v>0.54400000000000004</v>
      </c>
      <c r="O103" s="12">
        <v>10800</v>
      </c>
      <c r="P103" s="12">
        <v>764</v>
      </c>
      <c r="Q103" s="12">
        <v>10800</v>
      </c>
      <c r="R103" s="13"/>
      <c r="S103" s="13"/>
      <c r="T103" s="13"/>
      <c r="U103" s="13"/>
      <c r="V103" s="13"/>
    </row>
    <row r="104" spans="1:22" x14ac:dyDescent="0.25">
      <c r="A104">
        <v>15</v>
      </c>
      <c r="B104">
        <v>10</v>
      </c>
      <c r="C104">
        <v>20</v>
      </c>
      <c r="D104">
        <v>20</v>
      </c>
      <c r="E104">
        <v>20</v>
      </c>
      <c r="F104">
        <v>30</v>
      </c>
      <c r="G104">
        <v>80</v>
      </c>
      <c r="H104">
        <v>10</v>
      </c>
      <c r="I104" s="10">
        <v>180863717</v>
      </c>
      <c r="J104" s="11">
        <v>0.60399999999999998</v>
      </c>
      <c r="K104" s="10">
        <v>73066500</v>
      </c>
      <c r="L104" s="11">
        <v>1.7000000000000001E-2</v>
      </c>
      <c r="M104" s="10">
        <v>180885402</v>
      </c>
      <c r="N104" s="11">
        <v>0.60399999999999998</v>
      </c>
      <c r="O104" s="12">
        <v>10800</v>
      </c>
      <c r="P104" s="12">
        <v>6940.7</v>
      </c>
      <c r="Q104" s="12">
        <v>10800</v>
      </c>
      <c r="R104" s="13"/>
      <c r="S104" s="13"/>
      <c r="T104" s="13"/>
      <c r="U104" s="13"/>
      <c r="V104" s="13"/>
    </row>
    <row r="105" spans="1:22" x14ac:dyDescent="0.25">
      <c r="A105">
        <v>16</v>
      </c>
      <c r="B105">
        <v>10</v>
      </c>
      <c r="C105">
        <v>20</v>
      </c>
      <c r="D105">
        <v>20</v>
      </c>
      <c r="E105">
        <v>20</v>
      </c>
      <c r="F105">
        <v>50</v>
      </c>
      <c r="G105">
        <v>80</v>
      </c>
      <c r="H105">
        <v>3</v>
      </c>
      <c r="I105" s="10">
        <v>278141761</v>
      </c>
      <c r="J105" s="11">
        <v>0.41</v>
      </c>
      <c r="K105" s="10">
        <v>165609000</v>
      </c>
      <c r="L105" s="11">
        <v>8.0000000000000002E-3</v>
      </c>
      <c r="M105" s="10">
        <v>278141761</v>
      </c>
      <c r="N105" s="11">
        <v>0.41799999999999998</v>
      </c>
      <c r="O105" s="12">
        <v>10800</v>
      </c>
      <c r="P105" s="12">
        <v>419.5</v>
      </c>
      <c r="Q105" s="12">
        <v>10800</v>
      </c>
      <c r="R105" s="13"/>
      <c r="S105" s="13"/>
      <c r="T105" s="13"/>
      <c r="U105" s="13"/>
      <c r="V105" s="13"/>
    </row>
    <row r="106" spans="1:22" x14ac:dyDescent="0.25">
      <c r="A106">
        <v>17</v>
      </c>
      <c r="B106">
        <v>10</v>
      </c>
      <c r="C106">
        <v>20</v>
      </c>
      <c r="D106">
        <v>20</v>
      </c>
      <c r="E106">
        <v>20</v>
      </c>
      <c r="F106">
        <v>50</v>
      </c>
      <c r="G106">
        <v>80</v>
      </c>
      <c r="H106">
        <v>5</v>
      </c>
      <c r="I106" s="10">
        <v>295726466</v>
      </c>
      <c r="J106" s="11">
        <v>1</v>
      </c>
      <c r="K106" s="10">
        <v>128928000</v>
      </c>
      <c r="L106" s="11">
        <v>1.2E-2</v>
      </c>
      <c r="M106" s="10">
        <v>295726466</v>
      </c>
      <c r="N106" s="11">
        <v>0.57499999999999996</v>
      </c>
      <c r="O106" s="12">
        <v>10800</v>
      </c>
      <c r="P106" s="12">
        <v>1195.3</v>
      </c>
      <c r="Q106" s="12">
        <v>10800</v>
      </c>
      <c r="R106" s="13"/>
      <c r="S106" s="13"/>
      <c r="T106" s="13"/>
      <c r="U106" s="13"/>
      <c r="V106" s="13"/>
    </row>
    <row r="107" spans="1:22" x14ac:dyDescent="0.25">
      <c r="A107">
        <v>18</v>
      </c>
      <c r="B107">
        <v>10</v>
      </c>
      <c r="C107">
        <v>20</v>
      </c>
      <c r="D107">
        <v>20</v>
      </c>
      <c r="E107">
        <v>20</v>
      </c>
      <c r="F107">
        <v>50</v>
      </c>
      <c r="G107">
        <v>80</v>
      </c>
      <c r="H107">
        <v>10</v>
      </c>
      <c r="I107" s="10">
        <v>311866187</v>
      </c>
      <c r="J107" s="11">
        <v>1</v>
      </c>
      <c r="K107" s="10">
        <v>120685000</v>
      </c>
      <c r="L107" s="11">
        <v>1.4999999999999999E-2</v>
      </c>
      <c r="M107" s="10">
        <v>311866187</v>
      </c>
      <c r="N107" s="11">
        <v>0.626</v>
      </c>
      <c r="O107" s="12">
        <v>10800</v>
      </c>
      <c r="P107" s="12">
        <v>8131.6</v>
      </c>
      <c r="Q107" s="12">
        <v>10800</v>
      </c>
      <c r="R107" s="13"/>
      <c r="S107" s="13"/>
      <c r="T107" s="13"/>
      <c r="U107" s="13"/>
      <c r="V107" s="13"/>
    </row>
    <row r="108" spans="1:22" x14ac:dyDescent="0.25">
      <c r="A108">
        <v>19</v>
      </c>
      <c r="B108">
        <v>10</v>
      </c>
      <c r="C108">
        <v>20</v>
      </c>
      <c r="D108">
        <v>20</v>
      </c>
      <c r="E108">
        <v>20</v>
      </c>
      <c r="F108">
        <v>50</v>
      </c>
      <c r="G108">
        <v>125</v>
      </c>
      <c r="H108">
        <v>3</v>
      </c>
      <c r="I108" s="10">
        <v>310347327</v>
      </c>
      <c r="J108" s="11">
        <v>1</v>
      </c>
      <c r="K108" s="10">
        <v>185252340</v>
      </c>
      <c r="L108" s="11">
        <v>8.9999999999999993E-3</v>
      </c>
      <c r="M108" s="10">
        <v>310347327</v>
      </c>
      <c r="N108" s="11">
        <v>0.41799999999999998</v>
      </c>
      <c r="O108" s="12">
        <v>10800</v>
      </c>
      <c r="P108" s="12">
        <v>848.1</v>
      </c>
      <c r="Q108" s="12">
        <v>10800</v>
      </c>
      <c r="R108" s="13"/>
      <c r="S108" s="13"/>
      <c r="T108" s="13"/>
      <c r="U108" s="13"/>
      <c r="V108" s="13"/>
    </row>
    <row r="109" spans="1:22" x14ac:dyDescent="0.25">
      <c r="A109">
        <v>20</v>
      </c>
      <c r="B109">
        <v>10</v>
      </c>
      <c r="C109">
        <v>20</v>
      </c>
      <c r="D109">
        <v>20</v>
      </c>
      <c r="E109">
        <v>20</v>
      </c>
      <c r="F109">
        <v>50</v>
      </c>
      <c r="G109">
        <v>125</v>
      </c>
      <c r="H109">
        <v>5</v>
      </c>
      <c r="I109" s="10">
        <v>345999965</v>
      </c>
      <c r="J109" s="11">
        <v>1</v>
      </c>
      <c r="K109" s="10">
        <v>161056630</v>
      </c>
      <c r="L109" s="11">
        <v>8.0000000000000002E-3</v>
      </c>
      <c r="M109" s="10">
        <v>345999965</v>
      </c>
      <c r="N109" s="11">
        <v>0.57499999999999996</v>
      </c>
      <c r="O109" s="12">
        <v>10800</v>
      </c>
      <c r="P109" s="12">
        <v>2497</v>
      </c>
      <c r="Q109" s="12">
        <v>10800</v>
      </c>
      <c r="R109" s="13"/>
      <c r="S109" s="13"/>
      <c r="T109" s="13"/>
      <c r="U109" s="13"/>
      <c r="V109" s="13"/>
    </row>
    <row r="110" spans="1:22" x14ac:dyDescent="0.25">
      <c r="A110">
        <v>21</v>
      </c>
      <c r="B110">
        <v>10</v>
      </c>
      <c r="C110">
        <v>20</v>
      </c>
      <c r="D110">
        <v>20</v>
      </c>
      <c r="E110">
        <v>20</v>
      </c>
      <c r="F110">
        <v>50</v>
      </c>
      <c r="G110">
        <v>125</v>
      </c>
      <c r="H110">
        <v>10</v>
      </c>
      <c r="I110" s="10">
        <v>392951396</v>
      </c>
      <c r="J110" s="11">
        <v>1</v>
      </c>
      <c r="K110" s="10">
        <v>162213660</v>
      </c>
      <c r="L110" s="11">
        <v>1.4999999999999999E-2</v>
      </c>
      <c r="M110" s="10">
        <v>392951396</v>
      </c>
      <c r="N110" s="11">
        <v>0.626</v>
      </c>
      <c r="O110" s="12">
        <v>10800</v>
      </c>
      <c r="P110" s="12">
        <v>9084</v>
      </c>
      <c r="Q110" s="12">
        <v>10800</v>
      </c>
      <c r="R110" s="13"/>
      <c r="S110" s="13"/>
      <c r="T110" s="13"/>
      <c r="U110" s="13"/>
      <c r="V110" s="13"/>
    </row>
    <row r="117" spans="1:22" x14ac:dyDescent="0.25">
      <c r="I117" s="23" t="s">
        <v>46</v>
      </c>
      <c r="J117" s="24"/>
      <c r="K117" s="23" t="s">
        <v>51</v>
      </c>
      <c r="L117" s="24"/>
      <c r="M117" s="23" t="s">
        <v>30</v>
      </c>
      <c r="N117" s="24"/>
      <c r="O117" t="s">
        <v>44</v>
      </c>
    </row>
    <row r="118" spans="1:22" x14ac:dyDescent="0.25">
      <c r="A118" t="s">
        <v>35</v>
      </c>
      <c r="B118" t="s">
        <v>38</v>
      </c>
      <c r="C118" t="s">
        <v>39</v>
      </c>
      <c r="D118" t="s">
        <v>40</v>
      </c>
      <c r="E118" t="s">
        <v>41</v>
      </c>
      <c r="F118" t="s">
        <v>42</v>
      </c>
      <c r="G118" t="s">
        <v>43</v>
      </c>
      <c r="H118" t="s">
        <v>4</v>
      </c>
      <c r="I118" t="s">
        <v>49</v>
      </c>
      <c r="J118" t="s">
        <v>37</v>
      </c>
      <c r="K118" t="s">
        <v>49</v>
      </c>
      <c r="L118" t="s">
        <v>37</v>
      </c>
      <c r="M118" t="s">
        <v>49</v>
      </c>
      <c r="N118" t="s">
        <v>37</v>
      </c>
      <c r="O118" t="s">
        <v>45</v>
      </c>
      <c r="P118" t="s">
        <v>47</v>
      </c>
      <c r="Q118" t="s">
        <v>48</v>
      </c>
    </row>
    <row r="119" spans="1:22" x14ac:dyDescent="0.25">
      <c r="A119">
        <v>1</v>
      </c>
      <c r="B119">
        <v>5</v>
      </c>
      <c r="C119">
        <v>10</v>
      </c>
      <c r="D119">
        <v>10</v>
      </c>
      <c r="E119">
        <v>10</v>
      </c>
      <c r="F119">
        <v>20</v>
      </c>
      <c r="G119">
        <v>45</v>
      </c>
      <c r="H119">
        <v>3</v>
      </c>
      <c r="I119" s="10">
        <v>61702985</v>
      </c>
      <c r="J119" s="11">
        <v>3.0000000000000001E-3</v>
      </c>
      <c r="K119" s="10">
        <v>61737900</v>
      </c>
      <c r="L119" s="11">
        <v>5.0000000000000001E-3</v>
      </c>
      <c r="M119" s="10">
        <v>61737900</v>
      </c>
      <c r="N119" s="11">
        <v>0</v>
      </c>
      <c r="O119" s="12">
        <v>10800</v>
      </c>
      <c r="P119" s="12">
        <v>19.8</v>
      </c>
      <c r="Q119" s="12">
        <v>224.1</v>
      </c>
      <c r="R119" s="13"/>
      <c r="S119" s="13"/>
      <c r="T119" s="13"/>
      <c r="U119" s="13"/>
      <c r="V119" s="13"/>
    </row>
    <row r="120" spans="1:22" x14ac:dyDescent="0.25">
      <c r="A120">
        <v>2</v>
      </c>
      <c r="B120">
        <v>5</v>
      </c>
      <c r="C120">
        <v>10</v>
      </c>
      <c r="D120">
        <v>10</v>
      </c>
      <c r="E120">
        <v>10</v>
      </c>
      <c r="F120">
        <v>20</v>
      </c>
      <c r="G120">
        <v>45</v>
      </c>
      <c r="H120">
        <v>5</v>
      </c>
      <c r="I120" s="10">
        <v>56873509</v>
      </c>
      <c r="J120" s="11">
        <v>5.0000000000000001E-3</v>
      </c>
      <c r="K120" s="10">
        <v>57054400</v>
      </c>
      <c r="L120" s="11">
        <v>8.0000000000000002E-3</v>
      </c>
      <c r="M120" s="10">
        <v>57054400</v>
      </c>
      <c r="N120" s="11">
        <v>4.0000000000000001E-3</v>
      </c>
      <c r="O120" s="12">
        <v>10800</v>
      </c>
      <c r="P120" s="12">
        <v>49.4</v>
      </c>
      <c r="Q120" s="12">
        <v>2632.9</v>
      </c>
      <c r="R120" s="13"/>
      <c r="S120" s="13"/>
      <c r="T120" s="13"/>
      <c r="U120" s="13"/>
      <c r="V120" s="13"/>
    </row>
    <row r="121" spans="1:22" x14ac:dyDescent="0.25">
      <c r="A121">
        <v>3</v>
      </c>
      <c r="B121">
        <v>5</v>
      </c>
      <c r="C121">
        <v>10</v>
      </c>
      <c r="D121">
        <v>10</v>
      </c>
      <c r="E121">
        <v>10</v>
      </c>
      <c r="F121">
        <v>20</v>
      </c>
      <c r="G121">
        <v>45</v>
      </c>
      <c r="H121">
        <v>10</v>
      </c>
      <c r="I121" s="10">
        <v>62103450</v>
      </c>
      <c r="J121" s="11">
        <v>0.16900000000000001</v>
      </c>
      <c r="K121" s="10">
        <v>53232000</v>
      </c>
      <c r="L121" s="11">
        <v>1.7999999999999999E-2</v>
      </c>
      <c r="M121" s="10">
        <v>52508821</v>
      </c>
      <c r="N121" s="11">
        <v>4.0000000000000001E-3</v>
      </c>
      <c r="O121" s="12">
        <v>10800</v>
      </c>
      <c r="P121" s="12">
        <v>167.3</v>
      </c>
      <c r="Q121" s="12">
        <v>5782.9</v>
      </c>
      <c r="R121" s="13"/>
      <c r="S121" s="13"/>
      <c r="T121" s="13"/>
      <c r="U121" s="13"/>
      <c r="V121" s="13"/>
    </row>
    <row r="122" spans="1:22" x14ac:dyDescent="0.25">
      <c r="A122">
        <v>4</v>
      </c>
      <c r="B122">
        <v>5</v>
      </c>
      <c r="C122">
        <v>10</v>
      </c>
      <c r="D122">
        <v>10</v>
      </c>
      <c r="E122">
        <v>10</v>
      </c>
      <c r="F122">
        <v>20</v>
      </c>
      <c r="G122">
        <v>80</v>
      </c>
      <c r="H122">
        <v>3</v>
      </c>
      <c r="I122" s="10">
        <v>61741464</v>
      </c>
      <c r="J122" s="11">
        <v>5.0000000000000001E-3</v>
      </c>
      <c r="K122" s="10">
        <v>61737900</v>
      </c>
      <c r="L122" s="11">
        <v>5.0000000000000001E-3</v>
      </c>
      <c r="M122" s="10">
        <v>61737900</v>
      </c>
      <c r="N122" s="11">
        <v>0</v>
      </c>
      <c r="O122" s="12">
        <v>10800</v>
      </c>
      <c r="P122" s="12">
        <v>52.6</v>
      </c>
      <c r="Q122" s="12">
        <v>541.5</v>
      </c>
      <c r="R122" s="13"/>
      <c r="S122" s="13"/>
      <c r="T122" s="13"/>
      <c r="U122" s="13"/>
      <c r="V122" s="13"/>
    </row>
    <row r="123" spans="1:22" x14ac:dyDescent="0.25">
      <c r="A123">
        <v>5</v>
      </c>
      <c r="B123">
        <v>5</v>
      </c>
      <c r="C123">
        <v>10</v>
      </c>
      <c r="D123">
        <v>10</v>
      </c>
      <c r="E123">
        <v>10</v>
      </c>
      <c r="F123">
        <v>20</v>
      </c>
      <c r="G123">
        <v>80</v>
      </c>
      <c r="H123">
        <v>5</v>
      </c>
      <c r="I123" s="10">
        <v>58195779</v>
      </c>
      <c r="J123" s="11">
        <v>3.3000000000000002E-2</v>
      </c>
      <c r="K123" s="10">
        <v>57054400</v>
      </c>
      <c r="L123" s="11">
        <v>8.0000000000000002E-3</v>
      </c>
      <c r="M123" s="10">
        <v>57054400</v>
      </c>
      <c r="N123" s="11">
        <v>3.0000000000000001E-3</v>
      </c>
      <c r="O123" s="12">
        <v>10800</v>
      </c>
      <c r="P123" s="12">
        <v>106.9</v>
      </c>
      <c r="Q123" s="12">
        <v>3754.8</v>
      </c>
      <c r="R123" s="13"/>
      <c r="S123" s="13"/>
      <c r="T123" s="13"/>
      <c r="U123" s="13"/>
      <c r="V123" s="13"/>
    </row>
    <row r="124" spans="1:22" x14ac:dyDescent="0.25">
      <c r="A124">
        <v>6</v>
      </c>
      <c r="B124">
        <v>5</v>
      </c>
      <c r="C124">
        <v>10</v>
      </c>
      <c r="D124">
        <v>10</v>
      </c>
      <c r="E124">
        <v>10</v>
      </c>
      <c r="F124">
        <v>20</v>
      </c>
      <c r="G124">
        <v>80</v>
      </c>
      <c r="H124">
        <v>10</v>
      </c>
      <c r="I124" s="10">
        <v>62774756</v>
      </c>
      <c r="J124" s="11">
        <v>0.18099999999999999</v>
      </c>
      <c r="K124" s="10">
        <v>53232000</v>
      </c>
      <c r="L124" s="11">
        <v>0.02</v>
      </c>
      <c r="M124" s="10">
        <v>52551856</v>
      </c>
      <c r="N124" s="11">
        <v>5.0000000000000001E-3</v>
      </c>
      <c r="O124" s="12">
        <v>10800</v>
      </c>
      <c r="P124" s="12">
        <v>505</v>
      </c>
      <c r="Q124" s="12">
        <v>7109.1</v>
      </c>
      <c r="R124" s="13"/>
      <c r="S124" s="13"/>
      <c r="T124" s="13"/>
      <c r="U124" s="13"/>
      <c r="V124" s="13"/>
    </row>
    <row r="125" spans="1:22" x14ac:dyDescent="0.25">
      <c r="A125">
        <v>7</v>
      </c>
      <c r="B125">
        <v>5</v>
      </c>
      <c r="C125">
        <v>10</v>
      </c>
      <c r="D125">
        <v>10</v>
      </c>
      <c r="E125">
        <v>10</v>
      </c>
      <c r="F125">
        <v>30</v>
      </c>
      <c r="G125">
        <v>80</v>
      </c>
      <c r="H125">
        <v>3</v>
      </c>
      <c r="I125" s="10">
        <v>88850512</v>
      </c>
      <c r="J125" s="11">
        <v>4.0000000000000001E-3</v>
      </c>
      <c r="K125" s="10">
        <v>88780900</v>
      </c>
      <c r="L125" s="11">
        <v>4.0000000000000001E-3</v>
      </c>
      <c r="M125" s="10">
        <v>88780900</v>
      </c>
      <c r="N125" s="11">
        <v>0</v>
      </c>
      <c r="O125" s="12">
        <v>10800</v>
      </c>
      <c r="P125" s="12">
        <v>64.3</v>
      </c>
      <c r="Q125" s="12">
        <v>494.5</v>
      </c>
      <c r="R125" s="13"/>
      <c r="S125" s="13"/>
      <c r="T125" s="13"/>
      <c r="U125" s="13"/>
      <c r="V125" s="13"/>
    </row>
    <row r="126" spans="1:22" x14ac:dyDescent="0.25">
      <c r="A126">
        <v>8</v>
      </c>
      <c r="B126">
        <v>5</v>
      </c>
      <c r="C126">
        <v>10</v>
      </c>
      <c r="D126">
        <v>10</v>
      </c>
      <c r="E126">
        <v>10</v>
      </c>
      <c r="F126">
        <v>30</v>
      </c>
      <c r="G126">
        <v>80</v>
      </c>
      <c r="H126">
        <v>5</v>
      </c>
      <c r="I126" s="10">
        <v>77578248</v>
      </c>
      <c r="J126" s="11">
        <v>1.7999999999999999E-2</v>
      </c>
      <c r="K126" s="10">
        <v>76966500</v>
      </c>
      <c r="L126" s="11">
        <v>0.01</v>
      </c>
      <c r="M126" s="10">
        <v>76966500</v>
      </c>
      <c r="N126" s="11">
        <v>2E-3</v>
      </c>
      <c r="O126" s="12">
        <v>10800</v>
      </c>
      <c r="P126" s="12">
        <v>151.4</v>
      </c>
      <c r="Q126" s="12">
        <v>1403</v>
      </c>
      <c r="R126" s="13"/>
      <c r="S126" s="13"/>
      <c r="T126" s="13"/>
      <c r="U126" s="13"/>
      <c r="V126" s="13"/>
    </row>
    <row r="127" spans="1:22" x14ac:dyDescent="0.25">
      <c r="A127">
        <v>9</v>
      </c>
      <c r="B127">
        <v>5</v>
      </c>
      <c r="C127">
        <v>10</v>
      </c>
      <c r="D127">
        <v>10</v>
      </c>
      <c r="E127">
        <v>10</v>
      </c>
      <c r="F127">
        <v>30</v>
      </c>
      <c r="G127">
        <v>80</v>
      </c>
      <c r="H127">
        <v>10</v>
      </c>
      <c r="I127" s="10">
        <v>83436913</v>
      </c>
      <c r="J127" s="11">
        <v>0.159</v>
      </c>
      <c r="K127" s="10">
        <v>72463800</v>
      </c>
      <c r="L127" s="11">
        <v>0.02</v>
      </c>
      <c r="M127" s="10">
        <v>172125002</v>
      </c>
      <c r="N127" s="11">
        <v>0.58699999999999997</v>
      </c>
      <c r="O127" s="12">
        <v>10800</v>
      </c>
      <c r="P127" s="12">
        <v>1008</v>
      </c>
      <c r="Q127" s="12">
        <v>10800</v>
      </c>
      <c r="R127" s="13"/>
      <c r="S127" s="13"/>
      <c r="T127" s="13"/>
      <c r="U127" s="13"/>
      <c r="V127" s="13"/>
    </row>
    <row r="128" spans="1:22" x14ac:dyDescent="0.25">
      <c r="A128">
        <v>10</v>
      </c>
      <c r="B128">
        <v>5</v>
      </c>
      <c r="C128">
        <v>20</v>
      </c>
      <c r="D128">
        <v>20</v>
      </c>
      <c r="E128">
        <v>20</v>
      </c>
      <c r="F128">
        <v>30</v>
      </c>
      <c r="G128">
        <v>80</v>
      </c>
      <c r="H128">
        <v>3</v>
      </c>
      <c r="I128" s="10">
        <v>87771213</v>
      </c>
      <c r="J128" s="11">
        <v>7.0000000000000001E-3</v>
      </c>
      <c r="K128" s="10">
        <v>87649900</v>
      </c>
      <c r="L128" s="11">
        <v>6.0000000000000001E-3</v>
      </c>
      <c r="M128" s="10">
        <v>141586100</v>
      </c>
      <c r="N128" s="11">
        <v>0.38100000000000001</v>
      </c>
      <c r="O128" s="12">
        <v>10800</v>
      </c>
      <c r="P128" s="12">
        <v>195.3</v>
      </c>
      <c r="Q128" s="12">
        <v>10800</v>
      </c>
      <c r="R128" s="13"/>
      <c r="S128" s="13"/>
      <c r="T128" s="13"/>
      <c r="U128" s="13"/>
      <c r="V128" s="13"/>
    </row>
    <row r="129" spans="1:22" x14ac:dyDescent="0.25">
      <c r="A129">
        <v>11</v>
      </c>
      <c r="B129">
        <v>5</v>
      </c>
      <c r="C129">
        <v>20</v>
      </c>
      <c r="D129">
        <v>20</v>
      </c>
      <c r="E129">
        <v>20</v>
      </c>
      <c r="F129">
        <v>30</v>
      </c>
      <c r="G129">
        <v>80</v>
      </c>
      <c r="H129">
        <v>5</v>
      </c>
      <c r="I129" s="10">
        <v>151485049</v>
      </c>
      <c r="J129" s="11">
        <v>0.52100000000000002</v>
      </c>
      <c r="K129" s="10">
        <v>73664700</v>
      </c>
      <c r="L129" s="11">
        <v>1.4999999999999999E-2</v>
      </c>
      <c r="M129" s="10">
        <v>151485049</v>
      </c>
      <c r="N129" s="11">
        <v>0.51800000000000002</v>
      </c>
      <c r="O129" s="12">
        <v>10800</v>
      </c>
      <c r="P129" s="12">
        <v>604</v>
      </c>
      <c r="Q129" s="12">
        <v>10800</v>
      </c>
      <c r="R129" s="13"/>
      <c r="S129" s="13"/>
      <c r="T129" s="13"/>
      <c r="U129" s="13"/>
      <c r="V129" s="13"/>
    </row>
    <row r="130" spans="1:22" x14ac:dyDescent="0.25">
      <c r="A130">
        <v>12</v>
      </c>
      <c r="B130">
        <v>5</v>
      </c>
      <c r="C130">
        <v>20</v>
      </c>
      <c r="D130">
        <v>20</v>
      </c>
      <c r="E130">
        <v>20</v>
      </c>
      <c r="F130">
        <v>30</v>
      </c>
      <c r="G130">
        <v>80</v>
      </c>
      <c r="H130">
        <v>10</v>
      </c>
      <c r="I130" s="10">
        <v>172125002</v>
      </c>
      <c r="J130" s="11">
        <v>1</v>
      </c>
      <c r="K130" s="10">
        <v>67787600</v>
      </c>
      <c r="L130" s="11">
        <v>1.6E-2</v>
      </c>
      <c r="M130" s="10">
        <v>172125002</v>
      </c>
      <c r="N130" s="11">
        <v>0.61699999999999999</v>
      </c>
      <c r="O130" s="12">
        <v>10800</v>
      </c>
      <c r="P130" s="12">
        <v>1998.8</v>
      </c>
      <c r="Q130" s="12">
        <v>10800</v>
      </c>
      <c r="R130" s="13"/>
      <c r="S130" s="13"/>
      <c r="T130" s="13"/>
      <c r="U130" s="13"/>
      <c r="V130" s="13"/>
    </row>
    <row r="131" spans="1:22" x14ac:dyDescent="0.25">
      <c r="A131">
        <v>13</v>
      </c>
      <c r="B131">
        <v>10</v>
      </c>
      <c r="C131">
        <v>20</v>
      </c>
      <c r="D131">
        <v>20</v>
      </c>
      <c r="E131">
        <v>20</v>
      </c>
      <c r="F131">
        <v>30</v>
      </c>
      <c r="G131">
        <v>80</v>
      </c>
      <c r="H131">
        <v>3</v>
      </c>
      <c r="I131" s="10">
        <v>88222000</v>
      </c>
      <c r="J131" s="11">
        <v>2.4E-2</v>
      </c>
      <c r="K131" s="10">
        <v>86745400</v>
      </c>
      <c r="L131" s="11">
        <v>6.0000000000000001E-3</v>
      </c>
      <c r="M131" s="10">
        <v>141586100</v>
      </c>
      <c r="N131" s="11">
        <v>0.38900000000000001</v>
      </c>
      <c r="O131" s="12">
        <v>10800</v>
      </c>
      <c r="P131" s="12">
        <v>247</v>
      </c>
      <c r="Q131" s="12">
        <v>10800</v>
      </c>
      <c r="R131" s="13"/>
      <c r="S131" s="13"/>
      <c r="T131" s="13"/>
      <c r="U131" s="13"/>
      <c r="V131" s="13"/>
    </row>
    <row r="132" spans="1:22" x14ac:dyDescent="0.25">
      <c r="A132">
        <v>14</v>
      </c>
      <c r="B132">
        <v>10</v>
      </c>
      <c r="C132">
        <v>20</v>
      </c>
      <c r="D132">
        <v>20</v>
      </c>
      <c r="E132">
        <v>20</v>
      </c>
      <c r="F132">
        <v>30</v>
      </c>
      <c r="G132">
        <v>80</v>
      </c>
      <c r="H132">
        <v>5</v>
      </c>
      <c r="I132" s="10">
        <v>148490000</v>
      </c>
      <c r="J132" s="11">
        <v>0.53200000000000003</v>
      </c>
      <c r="K132" s="10">
        <v>70463800</v>
      </c>
      <c r="L132" s="11">
        <v>1.2999999999999999E-2</v>
      </c>
      <c r="M132" s="10">
        <v>144485048</v>
      </c>
      <c r="N132" s="11">
        <v>0.51600000000000001</v>
      </c>
      <c r="O132" s="12">
        <v>10800</v>
      </c>
      <c r="P132" s="12">
        <v>778.9</v>
      </c>
      <c r="Q132" s="12">
        <v>10800</v>
      </c>
      <c r="R132" s="13"/>
      <c r="S132" s="13"/>
      <c r="T132" s="13"/>
      <c r="U132" s="13"/>
      <c r="V132" s="13"/>
    </row>
    <row r="133" spans="1:22" x14ac:dyDescent="0.25">
      <c r="A133">
        <v>15</v>
      </c>
      <c r="B133">
        <v>10</v>
      </c>
      <c r="C133">
        <v>20</v>
      </c>
      <c r="D133">
        <v>20</v>
      </c>
      <c r="E133">
        <v>20</v>
      </c>
      <c r="F133">
        <v>30</v>
      </c>
      <c r="G133">
        <v>80</v>
      </c>
      <c r="H133">
        <v>10</v>
      </c>
      <c r="I133" s="10">
        <v>172130000</v>
      </c>
      <c r="J133" s="11">
        <v>1</v>
      </c>
      <c r="K133" s="10">
        <v>65911200</v>
      </c>
      <c r="L133" s="11">
        <v>1.9E-2</v>
      </c>
      <c r="M133" s="10">
        <v>168125002</v>
      </c>
      <c r="N133" s="11">
        <v>0.626</v>
      </c>
      <c r="O133" s="12">
        <v>10800</v>
      </c>
      <c r="P133" s="12">
        <v>1693.9</v>
      </c>
      <c r="Q133" s="12">
        <v>10800</v>
      </c>
      <c r="R133" s="13"/>
      <c r="S133" s="13"/>
      <c r="T133" s="13"/>
      <c r="U133" s="13"/>
      <c r="V133" s="13"/>
    </row>
    <row r="134" spans="1:22" x14ac:dyDescent="0.25">
      <c r="A134">
        <v>16</v>
      </c>
      <c r="B134">
        <v>10</v>
      </c>
      <c r="C134">
        <v>20</v>
      </c>
      <c r="D134">
        <v>20</v>
      </c>
      <c r="E134">
        <v>20</v>
      </c>
      <c r="F134">
        <v>50</v>
      </c>
      <c r="G134">
        <v>80</v>
      </c>
      <c r="H134">
        <v>3</v>
      </c>
      <c r="I134" s="10">
        <v>236008282</v>
      </c>
      <c r="J134" s="11">
        <v>0.4</v>
      </c>
      <c r="K134" s="10">
        <v>143133000</v>
      </c>
      <c r="L134" s="11">
        <v>0.01</v>
      </c>
      <c r="M134" s="10">
        <v>236008282</v>
      </c>
      <c r="N134" s="11">
        <v>0.40799999999999997</v>
      </c>
      <c r="O134" s="12">
        <v>10800</v>
      </c>
      <c r="P134" s="12">
        <v>649.70000000000005</v>
      </c>
      <c r="Q134" s="12">
        <v>10800</v>
      </c>
      <c r="R134" s="13"/>
      <c r="S134" s="13"/>
      <c r="T134" s="13"/>
      <c r="U134" s="13"/>
      <c r="V134" s="13"/>
    </row>
    <row r="135" spans="1:22" x14ac:dyDescent="0.25">
      <c r="A135">
        <v>17</v>
      </c>
      <c r="B135">
        <v>10</v>
      </c>
      <c r="C135">
        <v>20</v>
      </c>
      <c r="D135">
        <v>20</v>
      </c>
      <c r="E135">
        <v>20</v>
      </c>
      <c r="F135">
        <v>50</v>
      </c>
      <c r="G135">
        <v>80</v>
      </c>
      <c r="H135">
        <v>5</v>
      </c>
      <c r="I135" s="10">
        <v>254525042</v>
      </c>
      <c r="J135" s="11">
        <v>1</v>
      </c>
      <c r="K135" s="10">
        <v>111014000</v>
      </c>
      <c r="L135" s="11">
        <v>1.0999999999999999E-2</v>
      </c>
      <c r="M135" s="10">
        <v>254525042</v>
      </c>
      <c r="N135" s="11">
        <v>0.56599999999999995</v>
      </c>
      <c r="O135" s="12">
        <v>10800</v>
      </c>
      <c r="P135" s="12">
        <v>2061.8000000000002</v>
      </c>
      <c r="Q135" s="12">
        <v>10800</v>
      </c>
      <c r="R135" s="13"/>
      <c r="S135" s="13"/>
      <c r="T135" s="13"/>
      <c r="U135" s="13"/>
      <c r="V135" s="13"/>
    </row>
    <row r="136" spans="1:22" x14ac:dyDescent="0.25">
      <c r="A136">
        <v>18</v>
      </c>
      <c r="B136">
        <v>10</v>
      </c>
      <c r="C136">
        <v>20</v>
      </c>
      <c r="D136">
        <v>20</v>
      </c>
      <c r="E136">
        <v>20</v>
      </c>
      <c r="F136">
        <v>50</v>
      </c>
      <c r="G136">
        <v>80</v>
      </c>
      <c r="H136">
        <v>10</v>
      </c>
      <c r="I136" s="10">
        <v>268404885</v>
      </c>
      <c r="J136" s="11">
        <v>1</v>
      </c>
      <c r="K136" s="10">
        <v>103625000</v>
      </c>
      <c r="L136" s="11">
        <v>1.9E-2</v>
      </c>
      <c r="M136" s="10">
        <v>268404885</v>
      </c>
      <c r="N136" s="11">
        <v>0.621</v>
      </c>
      <c r="O136" s="12">
        <v>10800</v>
      </c>
      <c r="P136" s="12">
        <v>6524.7</v>
      </c>
      <c r="Q136" s="12">
        <v>10800</v>
      </c>
      <c r="R136" s="13"/>
      <c r="S136" s="13"/>
      <c r="T136" s="13"/>
      <c r="U136" s="13"/>
      <c r="V136" s="13"/>
    </row>
    <row r="137" spans="1:22" x14ac:dyDescent="0.25">
      <c r="A137">
        <v>19</v>
      </c>
      <c r="B137">
        <v>10</v>
      </c>
      <c r="C137">
        <v>20</v>
      </c>
      <c r="D137">
        <v>20</v>
      </c>
      <c r="E137">
        <v>20</v>
      </c>
      <c r="F137">
        <v>50</v>
      </c>
      <c r="G137">
        <v>125</v>
      </c>
      <c r="H137">
        <v>3</v>
      </c>
      <c r="I137" s="10">
        <v>236008282</v>
      </c>
      <c r="J137" s="11">
        <v>0.4</v>
      </c>
      <c r="K137" s="10">
        <v>145192000</v>
      </c>
      <c r="L137" s="11">
        <v>6.0000000000000001E-3</v>
      </c>
      <c r="M137" s="10">
        <v>236008282</v>
      </c>
      <c r="N137" s="11">
        <v>0.39600000000000002</v>
      </c>
      <c r="O137" s="12">
        <v>10800</v>
      </c>
      <c r="P137" s="12">
        <v>857.3</v>
      </c>
      <c r="Q137" s="12">
        <v>10800</v>
      </c>
      <c r="R137" s="13"/>
      <c r="S137" s="13"/>
      <c r="T137" s="13"/>
      <c r="U137" s="13"/>
      <c r="V137" s="13"/>
    </row>
    <row r="138" spans="1:22" x14ac:dyDescent="0.25">
      <c r="A138">
        <v>20</v>
      </c>
      <c r="B138">
        <v>10</v>
      </c>
      <c r="C138">
        <v>20</v>
      </c>
      <c r="D138">
        <v>20</v>
      </c>
      <c r="E138">
        <v>20</v>
      </c>
      <c r="F138">
        <v>50</v>
      </c>
      <c r="G138">
        <v>125</v>
      </c>
      <c r="H138">
        <v>5</v>
      </c>
      <c r="I138" s="10">
        <v>254525042</v>
      </c>
      <c r="J138" s="11">
        <v>1</v>
      </c>
      <c r="K138" s="10">
        <v>120106000</v>
      </c>
      <c r="L138" s="11">
        <v>1.2999999999999999E-2</v>
      </c>
      <c r="M138" s="10">
        <v>254525042</v>
      </c>
      <c r="N138" s="11">
        <v>0.56799999999999995</v>
      </c>
      <c r="O138" s="12">
        <v>10800</v>
      </c>
      <c r="P138" s="12">
        <v>5183.7</v>
      </c>
      <c r="Q138" s="12">
        <v>10800</v>
      </c>
      <c r="R138" s="13"/>
      <c r="S138" s="13"/>
      <c r="T138" s="13"/>
      <c r="U138" s="13"/>
      <c r="V138" s="13"/>
    </row>
    <row r="139" spans="1:22" x14ac:dyDescent="0.25">
      <c r="A139">
        <v>21</v>
      </c>
      <c r="B139">
        <v>10</v>
      </c>
      <c r="C139">
        <v>20</v>
      </c>
      <c r="D139">
        <v>20</v>
      </c>
      <c r="E139">
        <v>20</v>
      </c>
      <c r="F139">
        <v>50</v>
      </c>
      <c r="G139">
        <v>125</v>
      </c>
      <c r="H139">
        <v>10</v>
      </c>
      <c r="I139" s="10">
        <v>268404885</v>
      </c>
      <c r="J139" s="11">
        <v>1</v>
      </c>
      <c r="K139" s="10">
        <v>110477000</v>
      </c>
      <c r="L139" s="11">
        <v>1.7000000000000001E-2</v>
      </c>
      <c r="M139" s="10">
        <v>268404885</v>
      </c>
      <c r="N139" s="11">
        <v>0.621</v>
      </c>
      <c r="O139" s="12">
        <v>10800</v>
      </c>
      <c r="P139" s="12">
        <v>8733.7999999999993</v>
      </c>
      <c r="Q139" s="12">
        <v>10800</v>
      </c>
      <c r="R139" s="13"/>
      <c r="S139" s="13"/>
      <c r="T139" s="13"/>
      <c r="U139" s="13"/>
      <c r="V139" s="13"/>
    </row>
    <row r="148" spans="1:20" x14ac:dyDescent="0.25">
      <c r="A148" s="15" t="s">
        <v>70</v>
      </c>
      <c r="I148" s="23" t="s">
        <v>46</v>
      </c>
      <c r="J148" s="24"/>
      <c r="K148" s="23" t="s">
        <v>51</v>
      </c>
      <c r="L148" s="24"/>
      <c r="M148" s="23" t="s">
        <v>30</v>
      </c>
      <c r="N148" s="24"/>
      <c r="O148" t="s">
        <v>44</v>
      </c>
    </row>
    <row r="149" spans="1:20" x14ac:dyDescent="0.25">
      <c r="A149" t="s">
        <v>36</v>
      </c>
      <c r="B149" t="s">
        <v>38</v>
      </c>
      <c r="C149" t="s">
        <v>39</v>
      </c>
      <c r="D149" t="s">
        <v>40</v>
      </c>
      <c r="E149" t="s">
        <v>41</v>
      </c>
      <c r="F149" t="s">
        <v>42</v>
      </c>
      <c r="G149" t="s">
        <v>43</v>
      </c>
      <c r="H149" t="s">
        <v>4</v>
      </c>
      <c r="I149" t="s">
        <v>49</v>
      </c>
      <c r="J149" t="s">
        <v>37</v>
      </c>
      <c r="K149" t="s">
        <v>49</v>
      </c>
      <c r="L149" t="s">
        <v>37</v>
      </c>
      <c r="M149" t="s">
        <v>49</v>
      </c>
      <c r="N149" t="s">
        <v>37</v>
      </c>
      <c r="O149" t="s">
        <v>45</v>
      </c>
      <c r="P149" t="s">
        <v>47</v>
      </c>
      <c r="Q149" t="s">
        <v>48</v>
      </c>
    </row>
    <row r="150" spans="1:20" x14ac:dyDescent="0.25">
      <c r="A150">
        <v>1</v>
      </c>
      <c r="B150">
        <v>5</v>
      </c>
      <c r="C150">
        <v>10</v>
      </c>
      <c r="D150">
        <v>10</v>
      </c>
      <c r="E150">
        <v>10</v>
      </c>
      <c r="F150">
        <v>20</v>
      </c>
      <c r="G150">
        <v>45</v>
      </c>
      <c r="H150">
        <v>3</v>
      </c>
      <c r="I150" s="10">
        <f t="shared" ref="I150:Q150" si="0">AVERAGE(I3,I32,I61,I90,I119)</f>
        <v>65084260.399999999</v>
      </c>
      <c r="J150" s="11">
        <f t="shared" si="0"/>
        <v>3.0000000000000001E-3</v>
      </c>
      <c r="K150" s="10">
        <f t="shared" si="0"/>
        <v>65113520</v>
      </c>
      <c r="L150" s="11">
        <f t="shared" si="0"/>
        <v>4.8000000000000004E-3</v>
      </c>
      <c r="M150" s="10">
        <f t="shared" si="0"/>
        <v>65092800</v>
      </c>
      <c r="N150" s="11">
        <f t="shared" si="0"/>
        <v>0</v>
      </c>
      <c r="O150" s="12">
        <f t="shared" si="0"/>
        <v>10800</v>
      </c>
      <c r="P150" s="12">
        <f t="shared" si="0"/>
        <v>23.46</v>
      </c>
      <c r="Q150" s="12">
        <f t="shared" si="0"/>
        <v>179.68</v>
      </c>
      <c r="R150" s="12"/>
      <c r="S150" s="12"/>
      <c r="T150" s="12"/>
    </row>
    <row r="151" spans="1:20" x14ac:dyDescent="0.25">
      <c r="A151">
        <v>2</v>
      </c>
      <c r="B151">
        <v>5</v>
      </c>
      <c r="C151">
        <v>10</v>
      </c>
      <c r="D151">
        <v>10</v>
      </c>
      <c r="E151">
        <v>10</v>
      </c>
      <c r="F151">
        <v>20</v>
      </c>
      <c r="G151">
        <v>45</v>
      </c>
      <c r="H151">
        <v>5</v>
      </c>
      <c r="I151" s="10">
        <f t="shared" ref="I151:I170" si="1">AVERAGE(I4,I33,I62,I91,I120)</f>
        <v>59482681.600000001</v>
      </c>
      <c r="J151" s="11">
        <f t="shared" ref="J151:L170" si="2">AVERAGE(J4,J33,J62,J91,J120)</f>
        <v>1.2800000000000001E-2</v>
      </c>
      <c r="K151" s="10">
        <f t="shared" si="2"/>
        <v>59380500</v>
      </c>
      <c r="L151" s="11">
        <f t="shared" ref="L151:M170" si="3">AVERAGE(L4,L33,L62,L91,L120)</f>
        <v>9.1999999999999998E-3</v>
      </c>
      <c r="M151" s="10">
        <f t="shared" si="3"/>
        <v>59420758.799999997</v>
      </c>
      <c r="N151" s="11">
        <f t="shared" ref="N151:N170" si="4">AVERAGE(N4,N33,N62,N91,N120)</f>
        <v>5.2000000000000006E-3</v>
      </c>
      <c r="O151" s="12">
        <f t="shared" ref="O151:Q151" si="5">AVERAGE(O4,O33,O62,O91,O120)</f>
        <v>10800</v>
      </c>
      <c r="P151" s="12">
        <f t="shared" si="5"/>
        <v>101.74</v>
      </c>
      <c r="Q151" s="12">
        <f t="shared" si="5"/>
        <v>1066.1400000000001</v>
      </c>
      <c r="R151" s="12"/>
      <c r="S151" s="12"/>
      <c r="T151" s="12"/>
    </row>
    <row r="152" spans="1:20" x14ac:dyDescent="0.25">
      <c r="A152">
        <v>3</v>
      </c>
      <c r="B152">
        <v>5</v>
      </c>
      <c r="C152">
        <v>10</v>
      </c>
      <c r="D152">
        <v>10</v>
      </c>
      <c r="E152">
        <v>10</v>
      </c>
      <c r="F152">
        <v>20</v>
      </c>
      <c r="G152">
        <v>45</v>
      </c>
      <c r="H152">
        <v>10</v>
      </c>
      <c r="I152" s="10">
        <f t="shared" si="1"/>
        <v>63314825.600000001</v>
      </c>
      <c r="J152" s="11">
        <f t="shared" si="2"/>
        <v>0.13600000000000001</v>
      </c>
      <c r="K152" s="10">
        <f t="shared" si="2"/>
        <v>56216060</v>
      </c>
      <c r="L152" s="11">
        <f t="shared" si="3"/>
        <v>1.7600000000000001E-2</v>
      </c>
      <c r="M152" s="10">
        <f t="shared" si="3"/>
        <v>55545312.600000001</v>
      </c>
      <c r="N152" s="11">
        <f t="shared" si="4"/>
        <v>4.0000000000000001E-3</v>
      </c>
      <c r="O152" s="12">
        <f t="shared" ref="O152:Q152" si="6">AVERAGE(O5,O34,O63,O92,O121)</f>
        <v>10800</v>
      </c>
      <c r="P152" s="12">
        <f t="shared" si="6"/>
        <v>200.14000000000001</v>
      </c>
      <c r="Q152" s="12">
        <f t="shared" si="6"/>
        <v>3358.2</v>
      </c>
      <c r="R152" s="12"/>
      <c r="S152" s="12"/>
      <c r="T152" s="12"/>
    </row>
    <row r="153" spans="1:20" x14ac:dyDescent="0.25">
      <c r="A153">
        <v>4</v>
      </c>
      <c r="B153">
        <v>5</v>
      </c>
      <c r="C153">
        <v>10</v>
      </c>
      <c r="D153">
        <v>10</v>
      </c>
      <c r="E153">
        <v>10</v>
      </c>
      <c r="F153">
        <v>20</v>
      </c>
      <c r="G153">
        <v>80</v>
      </c>
      <c r="H153">
        <v>3</v>
      </c>
      <c r="I153" s="10">
        <f t="shared" si="1"/>
        <v>67772448.799999997</v>
      </c>
      <c r="J153" s="11">
        <f t="shared" si="2"/>
        <v>4.0000000000000001E-3</v>
      </c>
      <c r="K153" s="10">
        <f t="shared" si="2"/>
        <v>67743567</v>
      </c>
      <c r="L153" s="11">
        <f t="shared" si="3"/>
        <v>4.8000000000000004E-3</v>
      </c>
      <c r="M153" s="10">
        <f t="shared" si="3"/>
        <v>67726306.599999994</v>
      </c>
      <c r="N153" s="11">
        <f t="shared" si="4"/>
        <v>0</v>
      </c>
      <c r="O153" s="12">
        <f t="shared" ref="O153:Q153" si="7">AVERAGE(O6,O35,O64,O93,O122)</f>
        <v>10800</v>
      </c>
      <c r="P153" s="12">
        <f t="shared" si="7"/>
        <v>47.12</v>
      </c>
      <c r="Q153" s="12">
        <f t="shared" si="7"/>
        <v>379.66</v>
      </c>
      <c r="R153" s="12"/>
      <c r="S153" s="12"/>
      <c r="T153" s="12"/>
    </row>
    <row r="154" spans="1:20" x14ac:dyDescent="0.25">
      <c r="A154">
        <v>5</v>
      </c>
      <c r="B154">
        <v>5</v>
      </c>
      <c r="C154">
        <v>10</v>
      </c>
      <c r="D154">
        <v>10</v>
      </c>
      <c r="E154">
        <v>10</v>
      </c>
      <c r="F154">
        <v>20</v>
      </c>
      <c r="G154">
        <v>80</v>
      </c>
      <c r="H154">
        <v>5</v>
      </c>
      <c r="I154" s="10">
        <f t="shared" si="1"/>
        <v>65074571.600000001</v>
      </c>
      <c r="J154" s="11">
        <f t="shared" si="2"/>
        <v>3.0199999999999998E-2</v>
      </c>
      <c r="K154" s="10">
        <f t="shared" si="2"/>
        <v>63909391.600000001</v>
      </c>
      <c r="L154" s="11">
        <f t="shared" si="2"/>
        <v>9.4000000000000004E-3</v>
      </c>
      <c r="M154" s="10">
        <f t="shared" si="3"/>
        <v>63897186.799999997</v>
      </c>
      <c r="N154" s="11">
        <f t="shared" si="4"/>
        <v>2.7999999999999995E-3</v>
      </c>
      <c r="O154" s="12">
        <f t="shared" ref="O154:Q154" si="8">AVERAGE(O7,O36,O65,O94,O123)</f>
        <v>10800</v>
      </c>
      <c r="P154" s="12">
        <f t="shared" si="8"/>
        <v>173.68</v>
      </c>
      <c r="Q154" s="12">
        <f t="shared" si="8"/>
        <v>1630.48</v>
      </c>
      <c r="R154" s="12"/>
      <c r="S154" s="12"/>
      <c r="T154" s="12"/>
    </row>
    <row r="155" spans="1:20" x14ac:dyDescent="0.25">
      <c r="A155">
        <v>6</v>
      </c>
      <c r="B155">
        <v>5</v>
      </c>
      <c r="C155">
        <v>10</v>
      </c>
      <c r="D155">
        <v>10</v>
      </c>
      <c r="E155">
        <v>10</v>
      </c>
      <c r="F155">
        <v>20</v>
      </c>
      <c r="G155">
        <v>80</v>
      </c>
      <c r="H155">
        <v>10</v>
      </c>
      <c r="I155" s="10">
        <f t="shared" si="1"/>
        <v>70831739.799999997</v>
      </c>
      <c r="J155" s="11">
        <f t="shared" si="2"/>
        <v>0.14100000000000001</v>
      </c>
      <c r="K155" s="10">
        <f t="shared" si="2"/>
        <v>62620545.600000001</v>
      </c>
      <c r="L155" s="11">
        <f t="shared" si="2"/>
        <v>1.8000000000000002E-2</v>
      </c>
      <c r="M155" s="10">
        <f t="shared" si="3"/>
        <v>61968153.399999999</v>
      </c>
      <c r="N155" s="11">
        <f t="shared" si="4"/>
        <v>5.8000000000000005E-3</v>
      </c>
      <c r="O155" s="12">
        <f t="shared" ref="O155:Q155" si="9">AVERAGE(O8,O37,O66,O95,O124)</f>
        <v>10800</v>
      </c>
      <c r="P155" s="12">
        <f t="shared" si="9"/>
        <v>492.4</v>
      </c>
      <c r="Q155" s="12">
        <f t="shared" si="9"/>
        <v>4583.7</v>
      </c>
      <c r="R155" s="12"/>
      <c r="S155" s="12"/>
      <c r="T155" s="12"/>
    </row>
    <row r="156" spans="1:20" x14ac:dyDescent="0.25">
      <c r="A156">
        <v>7</v>
      </c>
      <c r="B156">
        <v>5</v>
      </c>
      <c r="C156">
        <v>10</v>
      </c>
      <c r="D156">
        <v>10</v>
      </c>
      <c r="E156">
        <v>10</v>
      </c>
      <c r="F156">
        <v>30</v>
      </c>
      <c r="G156">
        <v>80</v>
      </c>
      <c r="H156">
        <v>3</v>
      </c>
      <c r="I156" s="10">
        <f t="shared" si="1"/>
        <v>88892560.200000003</v>
      </c>
      <c r="J156" s="11">
        <f t="shared" si="2"/>
        <v>6.4000000000000003E-3</v>
      </c>
      <c r="K156" s="10">
        <f t="shared" si="2"/>
        <v>88631140</v>
      </c>
      <c r="L156" s="11">
        <f t="shared" si="2"/>
        <v>4.4000000000000003E-3</v>
      </c>
      <c r="M156" s="10">
        <f t="shared" si="3"/>
        <v>88757200</v>
      </c>
      <c r="N156" s="11">
        <f t="shared" si="4"/>
        <v>1.8E-3</v>
      </c>
      <c r="O156" s="12">
        <f t="shared" ref="O156:Q156" si="10">AVERAGE(O9,O38,O67,O96,O125)</f>
        <v>10800</v>
      </c>
      <c r="P156" s="12">
        <f t="shared" si="10"/>
        <v>76.7</v>
      </c>
      <c r="Q156" s="12">
        <f t="shared" si="10"/>
        <v>531.24</v>
      </c>
      <c r="R156" s="12"/>
      <c r="S156" s="12"/>
      <c r="T156" s="12"/>
    </row>
    <row r="157" spans="1:20" x14ac:dyDescent="0.25">
      <c r="A157">
        <v>8</v>
      </c>
      <c r="B157">
        <v>5</v>
      </c>
      <c r="C157">
        <v>10</v>
      </c>
      <c r="D157">
        <v>10</v>
      </c>
      <c r="E157">
        <v>10</v>
      </c>
      <c r="F157">
        <v>30</v>
      </c>
      <c r="G157">
        <v>80</v>
      </c>
      <c r="H157">
        <v>5</v>
      </c>
      <c r="I157" s="10">
        <f t="shared" si="1"/>
        <v>77980205.599999994</v>
      </c>
      <c r="J157" s="11">
        <f t="shared" si="2"/>
        <v>2.5000000000000001E-2</v>
      </c>
      <c r="K157" s="10">
        <f t="shared" si="2"/>
        <v>76851940</v>
      </c>
      <c r="L157" s="11">
        <f t="shared" si="2"/>
        <v>1.0800000000000001E-2</v>
      </c>
      <c r="M157" s="10">
        <f t="shared" si="3"/>
        <v>76850200</v>
      </c>
      <c r="N157" s="11">
        <f t="shared" si="4"/>
        <v>3.9999999999999992E-3</v>
      </c>
      <c r="O157" s="12">
        <f t="shared" ref="O157:Q157" si="11">AVERAGE(O10,O39,O68,O97,O126)</f>
        <v>10800</v>
      </c>
      <c r="P157" s="12">
        <f t="shared" si="11"/>
        <v>184.22</v>
      </c>
      <c r="Q157" s="12">
        <f t="shared" si="11"/>
        <v>2181.7599999999998</v>
      </c>
      <c r="R157" s="12"/>
      <c r="S157" s="12"/>
      <c r="T157" s="12"/>
    </row>
    <row r="158" spans="1:20" x14ac:dyDescent="0.25">
      <c r="A158">
        <v>9</v>
      </c>
      <c r="B158">
        <v>5</v>
      </c>
      <c r="C158">
        <v>10</v>
      </c>
      <c r="D158">
        <v>10</v>
      </c>
      <c r="E158">
        <v>10</v>
      </c>
      <c r="F158">
        <v>30</v>
      </c>
      <c r="G158">
        <v>80</v>
      </c>
      <c r="H158">
        <v>10</v>
      </c>
      <c r="I158" s="10">
        <f>AVERAGE(I11,I40,I69,I98,I127)</f>
        <v>83486015.799999997</v>
      </c>
      <c r="J158" s="11">
        <f t="shared" si="2"/>
        <v>0.32240000000000002</v>
      </c>
      <c r="K158" s="10">
        <f t="shared" si="2"/>
        <v>74859420</v>
      </c>
      <c r="L158" s="11">
        <f t="shared" si="2"/>
        <v>1.9200000000000002E-2</v>
      </c>
      <c r="M158" s="10">
        <f t="shared" si="3"/>
        <v>180998642</v>
      </c>
      <c r="N158" s="11">
        <f t="shared" si="4"/>
        <v>0.59360000000000002</v>
      </c>
      <c r="O158" s="12">
        <f t="shared" ref="O158:Q158" si="12">AVERAGE(O11,O40,O69,O98,O127)</f>
        <v>10800</v>
      </c>
      <c r="P158" s="12">
        <f t="shared" si="12"/>
        <v>878.56000000000006</v>
      </c>
      <c r="Q158" s="12">
        <f t="shared" si="12"/>
        <v>10800</v>
      </c>
      <c r="R158" s="12"/>
      <c r="S158" s="12"/>
      <c r="T158" s="12"/>
    </row>
    <row r="159" spans="1:20" x14ac:dyDescent="0.25">
      <c r="A159">
        <v>10</v>
      </c>
      <c r="B159">
        <v>5</v>
      </c>
      <c r="C159">
        <v>20</v>
      </c>
      <c r="D159">
        <v>20</v>
      </c>
      <c r="E159">
        <v>20</v>
      </c>
      <c r="F159">
        <v>30</v>
      </c>
      <c r="G159">
        <v>80</v>
      </c>
      <c r="H159">
        <v>3</v>
      </c>
      <c r="I159" s="10">
        <f t="shared" si="1"/>
        <v>86710066.400000006</v>
      </c>
      <c r="J159" s="11">
        <f t="shared" si="2"/>
        <v>8.7999999999999988E-3</v>
      </c>
      <c r="K159" s="10">
        <f t="shared" si="2"/>
        <v>86471780</v>
      </c>
      <c r="L159" s="11">
        <f t="shared" si="2"/>
        <v>6.4000000000000003E-3</v>
      </c>
      <c r="M159" s="10">
        <f t="shared" si="3"/>
        <v>143048206.40000001</v>
      </c>
      <c r="N159" s="11">
        <f t="shared" si="4"/>
        <v>0.40899999999999997</v>
      </c>
      <c r="O159" s="12">
        <f t="shared" ref="O159:Q159" si="13">AVERAGE(O12,O41,O70,O99,O128)</f>
        <v>10800</v>
      </c>
      <c r="P159" s="12">
        <f t="shared" si="13"/>
        <v>251.97999999999996</v>
      </c>
      <c r="Q159" s="12">
        <f t="shared" si="13"/>
        <v>10800</v>
      </c>
      <c r="R159" s="12"/>
      <c r="S159" s="12"/>
      <c r="T159" s="12"/>
    </row>
    <row r="160" spans="1:20" x14ac:dyDescent="0.25">
      <c r="A160">
        <v>11</v>
      </c>
      <c r="B160">
        <v>5</v>
      </c>
      <c r="C160">
        <v>20</v>
      </c>
      <c r="D160">
        <v>20</v>
      </c>
      <c r="E160">
        <v>20</v>
      </c>
      <c r="F160">
        <v>30</v>
      </c>
      <c r="G160">
        <v>80</v>
      </c>
      <c r="H160">
        <v>5</v>
      </c>
      <c r="I160" s="10">
        <f t="shared" si="1"/>
        <v>156036831.40000001</v>
      </c>
      <c r="J160" s="11">
        <f t="shared" si="2"/>
        <v>0.62419999999999998</v>
      </c>
      <c r="K160" s="10">
        <f t="shared" si="2"/>
        <v>73759500</v>
      </c>
      <c r="L160" s="11">
        <f t="shared" si="2"/>
        <v>1.4199999999999999E-2</v>
      </c>
      <c r="M160" s="10">
        <f t="shared" si="3"/>
        <v>156036831.40000001</v>
      </c>
      <c r="N160" s="11">
        <f t="shared" si="4"/>
        <v>0.53920000000000012</v>
      </c>
      <c r="O160" s="12">
        <f t="shared" ref="O160:Q160" si="14">AVERAGE(O13,O42,O71,O100,O129)</f>
        <v>10800</v>
      </c>
      <c r="P160" s="12">
        <f t="shared" si="14"/>
        <v>783.42000000000007</v>
      </c>
      <c r="Q160" s="12">
        <f t="shared" si="14"/>
        <v>10800</v>
      </c>
      <c r="R160" s="12"/>
      <c r="S160" s="12"/>
      <c r="T160" s="12"/>
    </row>
    <row r="161" spans="1:20" x14ac:dyDescent="0.25">
      <c r="A161">
        <v>12</v>
      </c>
      <c r="B161">
        <v>5</v>
      </c>
      <c r="C161">
        <v>20</v>
      </c>
      <c r="D161">
        <v>20</v>
      </c>
      <c r="E161">
        <v>20</v>
      </c>
      <c r="F161">
        <v>30</v>
      </c>
      <c r="G161">
        <v>80</v>
      </c>
      <c r="H161">
        <v>10</v>
      </c>
      <c r="I161" s="10">
        <f t="shared" si="1"/>
        <v>180998642</v>
      </c>
      <c r="J161" s="11">
        <f t="shared" si="2"/>
        <v>0.84340000000000015</v>
      </c>
      <c r="K161" s="10">
        <f t="shared" si="2"/>
        <v>72620660</v>
      </c>
      <c r="L161" s="11">
        <f t="shared" si="2"/>
        <v>1.9200000000000002E-2</v>
      </c>
      <c r="M161" s="10">
        <f t="shared" si="3"/>
        <v>180998642</v>
      </c>
      <c r="N161" s="11">
        <f t="shared" si="4"/>
        <v>0.60980000000000001</v>
      </c>
      <c r="O161" s="12">
        <f t="shared" ref="O161:Q161" si="15">AVERAGE(O14,O43,O72,O101,O130)</f>
        <v>10800</v>
      </c>
      <c r="P161" s="12">
        <f t="shared" si="15"/>
        <v>3660.04</v>
      </c>
      <c r="Q161" s="12">
        <f t="shared" si="15"/>
        <v>10800</v>
      </c>
      <c r="R161" s="12"/>
      <c r="S161" s="12"/>
      <c r="T161" s="12"/>
    </row>
    <row r="162" spans="1:20" x14ac:dyDescent="0.25">
      <c r="A162">
        <v>13</v>
      </c>
      <c r="B162">
        <v>10</v>
      </c>
      <c r="C162">
        <v>20</v>
      </c>
      <c r="D162">
        <v>20</v>
      </c>
      <c r="E162">
        <v>20</v>
      </c>
      <c r="F162">
        <v>30</v>
      </c>
      <c r="G162">
        <v>80</v>
      </c>
      <c r="H162" s="26">
        <v>3</v>
      </c>
      <c r="I162" s="27">
        <f t="shared" si="1"/>
        <v>86696400</v>
      </c>
      <c r="J162" s="28">
        <f t="shared" si="2"/>
        <v>1.9599999999999999E-2</v>
      </c>
      <c r="K162" s="27">
        <f t="shared" si="2"/>
        <v>85748500</v>
      </c>
      <c r="L162" s="11">
        <f t="shared" si="2"/>
        <v>6.6E-3</v>
      </c>
      <c r="M162" s="10">
        <f t="shared" si="3"/>
        <v>143048206.40000001</v>
      </c>
      <c r="N162" s="11">
        <f t="shared" si="4"/>
        <v>0.41220000000000001</v>
      </c>
      <c r="O162" s="12">
        <f t="shared" ref="O162:Q162" si="16">AVERAGE(O15,O44,O73,O102,O131)</f>
        <v>10800</v>
      </c>
      <c r="P162" s="12">
        <f t="shared" si="16"/>
        <v>289.14</v>
      </c>
      <c r="Q162" s="12">
        <f t="shared" si="16"/>
        <v>10800</v>
      </c>
      <c r="R162" s="12"/>
      <c r="S162" s="12"/>
      <c r="T162" s="12"/>
    </row>
    <row r="163" spans="1:20" x14ac:dyDescent="0.25">
      <c r="A163">
        <v>14</v>
      </c>
      <c r="B163">
        <v>10</v>
      </c>
      <c r="C163">
        <v>20</v>
      </c>
      <c r="D163">
        <v>20</v>
      </c>
      <c r="E163">
        <v>20</v>
      </c>
      <c r="F163">
        <v>30</v>
      </c>
      <c r="G163">
        <v>80</v>
      </c>
      <c r="H163" s="26">
        <v>5</v>
      </c>
      <c r="I163" s="27">
        <f t="shared" si="1"/>
        <v>154498000</v>
      </c>
      <c r="J163" s="28">
        <f t="shared" si="2"/>
        <v>0.63959999999999995</v>
      </c>
      <c r="K163" s="27">
        <f t="shared" si="2"/>
        <v>70895220</v>
      </c>
      <c r="L163" s="11">
        <f t="shared" si="2"/>
        <v>1.3599999999999998E-2</v>
      </c>
      <c r="M163" s="10">
        <f t="shared" si="3"/>
        <v>153236831.19999999</v>
      </c>
      <c r="N163" s="11">
        <f t="shared" si="4"/>
        <v>0.5504</v>
      </c>
      <c r="O163" s="12">
        <f t="shared" ref="O163:Q163" si="17">AVERAGE(O16,O45,O74,O103,O132)</f>
        <v>10800</v>
      </c>
      <c r="P163" s="12">
        <f t="shared" si="17"/>
        <v>979.78</v>
      </c>
      <c r="Q163" s="12">
        <f t="shared" si="17"/>
        <v>10800</v>
      </c>
      <c r="R163" s="12"/>
      <c r="S163" s="12"/>
      <c r="T163" s="12"/>
    </row>
    <row r="164" spans="1:20" x14ac:dyDescent="0.25">
      <c r="A164">
        <v>15</v>
      </c>
      <c r="B164">
        <v>10</v>
      </c>
      <c r="C164">
        <v>20</v>
      </c>
      <c r="D164">
        <v>20</v>
      </c>
      <c r="E164">
        <v>20</v>
      </c>
      <c r="F164">
        <v>30</v>
      </c>
      <c r="G164">
        <v>80</v>
      </c>
      <c r="H164" s="26">
        <v>10</v>
      </c>
      <c r="I164" s="27">
        <f t="shared" si="1"/>
        <v>180594263.80000001</v>
      </c>
      <c r="J164" s="28">
        <f>AVERAGE(J17,J46,J75,J104,J133)</f>
        <v>0.92080000000000006</v>
      </c>
      <c r="K164" s="27">
        <f t="shared" si="2"/>
        <v>71636100</v>
      </c>
      <c r="L164" s="11">
        <f t="shared" si="2"/>
        <v>1.8800000000000001E-2</v>
      </c>
      <c r="M164" s="10">
        <f t="shared" si="3"/>
        <v>178198642</v>
      </c>
      <c r="N164" s="11">
        <f t="shared" si="4"/>
        <v>0.60859999999999992</v>
      </c>
      <c r="O164" s="12">
        <f t="shared" ref="O164:Q164" si="18">AVERAGE(O17,O46,O75,O104,O133)</f>
        <v>10800</v>
      </c>
      <c r="P164" s="12">
        <f t="shared" si="18"/>
        <v>5349.3200000000006</v>
      </c>
      <c r="Q164" s="12">
        <f t="shared" si="18"/>
        <v>10800</v>
      </c>
      <c r="R164" s="12"/>
      <c r="S164" s="12"/>
      <c r="T164" s="12"/>
    </row>
    <row r="165" spans="1:20" x14ac:dyDescent="0.25">
      <c r="A165">
        <v>16</v>
      </c>
      <c r="B165">
        <v>10</v>
      </c>
      <c r="C165">
        <v>20</v>
      </c>
      <c r="D165">
        <v>20</v>
      </c>
      <c r="E165">
        <v>20</v>
      </c>
      <c r="F165">
        <v>50</v>
      </c>
      <c r="G165">
        <v>80</v>
      </c>
      <c r="H165" s="26">
        <v>3</v>
      </c>
      <c r="I165" s="27">
        <f t="shared" si="1"/>
        <v>251155008.80000001</v>
      </c>
      <c r="J165" s="28">
        <f t="shared" si="2"/>
        <v>0.41499999999999992</v>
      </c>
      <c r="K165" s="27">
        <f t="shared" si="2"/>
        <v>148418800</v>
      </c>
      <c r="L165" s="11">
        <f t="shared" si="2"/>
        <v>8.4000000000000012E-3</v>
      </c>
      <c r="M165" s="10">
        <f t="shared" si="3"/>
        <v>251155008.80000001</v>
      </c>
      <c r="N165" s="11">
        <f t="shared" si="4"/>
        <v>0.42279999999999995</v>
      </c>
      <c r="O165" s="12">
        <f t="shared" ref="O165:Q165" si="19">AVERAGE(O18,O47,O76,O105,O134)</f>
        <v>10800</v>
      </c>
      <c r="P165" s="12">
        <f t="shared" si="19"/>
        <v>484.43999999999994</v>
      </c>
      <c r="Q165" s="12">
        <f t="shared" si="19"/>
        <v>10800</v>
      </c>
      <c r="R165" s="12"/>
      <c r="S165" s="12"/>
      <c r="T165" s="12"/>
    </row>
    <row r="166" spans="1:20" x14ac:dyDescent="0.25">
      <c r="A166">
        <v>17</v>
      </c>
      <c r="B166">
        <v>10</v>
      </c>
      <c r="C166">
        <v>20</v>
      </c>
      <c r="D166">
        <v>20</v>
      </c>
      <c r="E166">
        <v>20</v>
      </c>
      <c r="F166">
        <v>50</v>
      </c>
      <c r="G166">
        <v>80</v>
      </c>
      <c r="H166">
        <v>5</v>
      </c>
      <c r="I166" s="10">
        <f t="shared" si="1"/>
        <v>271366605</v>
      </c>
      <c r="J166" s="11">
        <f t="shared" si="2"/>
        <v>1</v>
      </c>
      <c r="K166" s="10">
        <f t="shared" si="2"/>
        <v>118216894.2</v>
      </c>
      <c r="L166" s="11">
        <f t="shared" si="2"/>
        <v>1.2799999999999997E-2</v>
      </c>
      <c r="M166" s="10">
        <f t="shared" si="3"/>
        <v>271366605</v>
      </c>
      <c r="N166" s="11">
        <f t="shared" si="4"/>
        <v>0.57979999999999998</v>
      </c>
      <c r="O166" s="12">
        <f t="shared" ref="O166:Q166" si="20">AVERAGE(O19,O48,O77,O106,O135)</f>
        <v>10800</v>
      </c>
      <c r="P166" s="12">
        <f t="shared" si="20"/>
        <v>2088.44</v>
      </c>
      <c r="Q166" s="12">
        <f t="shared" si="20"/>
        <v>10800</v>
      </c>
      <c r="R166" s="12"/>
      <c r="S166" s="12"/>
      <c r="T166" s="12"/>
    </row>
    <row r="167" spans="1:20" x14ac:dyDescent="0.25">
      <c r="A167">
        <v>18</v>
      </c>
      <c r="B167">
        <v>10</v>
      </c>
      <c r="C167">
        <v>20</v>
      </c>
      <c r="D167">
        <v>20</v>
      </c>
      <c r="E167">
        <v>20</v>
      </c>
      <c r="F167">
        <v>50</v>
      </c>
      <c r="G167">
        <v>80</v>
      </c>
      <c r="H167">
        <v>10</v>
      </c>
      <c r="I167" s="10">
        <f t="shared" si="1"/>
        <v>292614326.19999999</v>
      </c>
      <c r="J167" s="11">
        <f t="shared" si="2"/>
        <v>1</v>
      </c>
      <c r="K167" s="10">
        <f t="shared" si="2"/>
        <v>113835400</v>
      </c>
      <c r="L167" s="11">
        <f t="shared" si="2"/>
        <v>1.7999999999999999E-2</v>
      </c>
      <c r="M167" s="10">
        <f t="shared" si="3"/>
        <v>292614326.19999999</v>
      </c>
      <c r="N167" s="11">
        <f t="shared" si="4"/>
        <v>0.62739999999999996</v>
      </c>
      <c r="O167" s="12">
        <f t="shared" ref="O167:Q167" si="21">AVERAGE(O20,O49,O78,O107,O136)</f>
        <v>10800</v>
      </c>
      <c r="P167" s="12">
        <f t="shared" si="21"/>
        <v>6979.3399999999992</v>
      </c>
      <c r="Q167" s="12">
        <f t="shared" si="21"/>
        <v>10800</v>
      </c>
      <c r="R167" s="12"/>
      <c r="S167" s="12"/>
      <c r="T167" s="12"/>
    </row>
    <row r="168" spans="1:20" x14ac:dyDescent="0.25">
      <c r="A168">
        <v>19</v>
      </c>
      <c r="B168">
        <v>10</v>
      </c>
      <c r="C168">
        <v>20</v>
      </c>
      <c r="D168">
        <v>20</v>
      </c>
      <c r="E168">
        <v>20</v>
      </c>
      <c r="F168">
        <v>50</v>
      </c>
      <c r="G168">
        <v>125</v>
      </c>
      <c r="H168">
        <v>3</v>
      </c>
      <c r="I168" s="10">
        <f t="shared" si="1"/>
        <v>247734758</v>
      </c>
      <c r="J168" s="11">
        <f t="shared" si="2"/>
        <v>0.56659999999999999</v>
      </c>
      <c r="K168" s="10">
        <f t="shared" si="2"/>
        <v>160248564</v>
      </c>
      <c r="L168" s="11">
        <f t="shared" si="2"/>
        <v>6.1999999999999998E-3</v>
      </c>
      <c r="M168" s="10">
        <f t="shared" si="3"/>
        <v>269061016.80000001</v>
      </c>
      <c r="N168" s="11">
        <f t="shared" si="4"/>
        <v>0.41920000000000002</v>
      </c>
      <c r="O168" s="12">
        <f t="shared" ref="O168:Q168" si="22">AVERAGE(O21,O50,O79,O108,O137)</f>
        <v>10800</v>
      </c>
      <c r="P168" s="12">
        <f t="shared" si="22"/>
        <v>760.37999999999988</v>
      </c>
      <c r="Q168" s="12">
        <f t="shared" si="22"/>
        <v>10800</v>
      </c>
      <c r="R168" s="12"/>
      <c r="S168" s="12"/>
      <c r="T168" s="12"/>
    </row>
    <row r="169" spans="1:20" x14ac:dyDescent="0.25">
      <c r="A169">
        <v>20</v>
      </c>
      <c r="B169">
        <v>10</v>
      </c>
      <c r="C169">
        <v>20</v>
      </c>
      <c r="D169">
        <v>20</v>
      </c>
      <c r="E169">
        <v>20</v>
      </c>
      <c r="F169">
        <v>50</v>
      </c>
      <c r="G169">
        <v>125</v>
      </c>
      <c r="H169">
        <v>5</v>
      </c>
      <c r="I169" s="10">
        <f t="shared" si="1"/>
        <v>300843929.80000001</v>
      </c>
      <c r="J169" s="11">
        <f t="shared" si="2"/>
        <v>1</v>
      </c>
      <c r="K169" s="10">
        <f>AVERAGE(K22,K51,K80,K109,K138)</f>
        <v>135465662</v>
      </c>
      <c r="L169" s="11">
        <f t="shared" si="2"/>
        <v>1.1999999999999999E-2</v>
      </c>
      <c r="M169" s="10">
        <f t="shared" si="3"/>
        <v>300843929.80000001</v>
      </c>
      <c r="N169" s="11">
        <f t="shared" si="4"/>
        <v>0.57939999999999992</v>
      </c>
      <c r="O169" s="12">
        <f t="shared" ref="O169:Q169" si="23">AVERAGE(O22,O51,O80,O109,O138)</f>
        <v>10800</v>
      </c>
      <c r="P169" s="12">
        <f t="shared" si="23"/>
        <v>2875.4</v>
      </c>
      <c r="Q169" s="12">
        <f t="shared" si="23"/>
        <v>10800</v>
      </c>
      <c r="R169" s="12"/>
      <c r="S169" s="12"/>
      <c r="T169" s="12"/>
    </row>
    <row r="170" spans="1:20" x14ac:dyDescent="0.25">
      <c r="A170">
        <v>21</v>
      </c>
      <c r="B170">
        <v>10</v>
      </c>
      <c r="C170">
        <v>20</v>
      </c>
      <c r="D170">
        <v>20</v>
      </c>
      <c r="E170">
        <v>20</v>
      </c>
      <c r="F170">
        <v>50</v>
      </c>
      <c r="G170">
        <v>125</v>
      </c>
      <c r="H170">
        <v>10</v>
      </c>
      <c r="I170" s="10">
        <f t="shared" si="1"/>
        <v>335792135.19999999</v>
      </c>
      <c r="J170" s="11">
        <f t="shared" si="2"/>
        <v>1</v>
      </c>
      <c r="K170" s="10">
        <f t="shared" si="2"/>
        <v>136278248</v>
      </c>
      <c r="L170" s="11">
        <f t="shared" si="2"/>
        <v>1.7000000000000001E-2</v>
      </c>
      <c r="M170" s="10">
        <f t="shared" si="3"/>
        <v>335792135.19999999</v>
      </c>
      <c r="N170" s="11">
        <f t="shared" si="4"/>
        <v>0.62780000000000002</v>
      </c>
      <c r="O170" s="12">
        <f t="shared" ref="O170:Q170" si="24">AVERAGE(O23,O52,O81,O110,O139)</f>
        <v>10800</v>
      </c>
      <c r="P170" s="12">
        <f t="shared" si="24"/>
        <v>8425.16</v>
      </c>
      <c r="Q170" s="12">
        <f t="shared" si="24"/>
        <v>10800</v>
      </c>
      <c r="R170" s="12"/>
      <c r="S170" s="12"/>
      <c r="T170" s="12"/>
    </row>
    <row r="171" spans="1:20" x14ac:dyDescent="0.25">
      <c r="H171" t="s">
        <v>50</v>
      </c>
      <c r="I171" s="10">
        <f>AVERAGE(I150:I170)</f>
        <v>151760013.14285713</v>
      </c>
      <c r="J171" s="14">
        <f t="shared" ref="J171:N171" si="25">AVERAGE(J150:J170)</f>
        <v>0.41518095238095248</v>
      </c>
      <c r="K171" s="10">
        <f t="shared" si="25"/>
        <v>89948638.68571429</v>
      </c>
      <c r="L171" s="14">
        <f t="shared" si="25"/>
        <v>1.1971428571428572E-2</v>
      </c>
      <c r="M171" s="10">
        <f t="shared" si="25"/>
        <v>161697949.59047619</v>
      </c>
      <c r="N171" s="14">
        <f t="shared" si="25"/>
        <v>0.33346666666666663</v>
      </c>
      <c r="O171" s="12">
        <f>AVERAGE(O150:O170)</f>
        <v>10800</v>
      </c>
      <c r="P171" s="12">
        <f t="shared" ref="P171:Q171" si="26">AVERAGE(P150:P170)</f>
        <v>1671.66</v>
      </c>
      <c r="Q171" s="12">
        <f t="shared" si="26"/>
        <v>7348.1361904761898</v>
      </c>
      <c r="R171" s="12"/>
    </row>
  </sheetData>
  <mergeCells count="19">
    <mergeCell ref="I1:J1"/>
    <mergeCell ref="K1:L1"/>
    <mergeCell ref="M1:N1"/>
    <mergeCell ref="O1:Q1"/>
    <mergeCell ref="I30:J30"/>
    <mergeCell ref="K30:L30"/>
    <mergeCell ref="M30:N30"/>
    <mergeCell ref="I59:J59"/>
    <mergeCell ref="K59:L59"/>
    <mergeCell ref="M59:N59"/>
    <mergeCell ref="I88:J88"/>
    <mergeCell ref="K88:L88"/>
    <mergeCell ref="M88:N88"/>
    <mergeCell ref="I117:J117"/>
    <mergeCell ref="K117:L117"/>
    <mergeCell ref="M117:N117"/>
    <mergeCell ref="I148:J148"/>
    <mergeCell ref="K148:L148"/>
    <mergeCell ref="M148:N148"/>
  </mergeCells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28B59-EA98-4CE2-A879-1BB7DA2448C9}">
  <dimension ref="A1:E33"/>
  <sheetViews>
    <sheetView workbookViewId="0">
      <selection sqref="A1:E33"/>
    </sheetView>
  </sheetViews>
  <sheetFormatPr defaultRowHeight="14" x14ac:dyDescent="0.25"/>
  <cols>
    <col min="1" max="2" width="8.7265625" style="5"/>
    <col min="3" max="3" width="16.6328125" style="5" customWidth="1"/>
    <col min="4" max="4" width="21.90625" style="5" customWidth="1"/>
    <col min="5" max="16384" width="8.7265625" style="5"/>
  </cols>
  <sheetData>
    <row r="1" spans="1:5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x14ac:dyDescent="0.25">
      <c r="A2" s="5">
        <v>6</v>
      </c>
      <c r="B2" s="5">
        <v>1</v>
      </c>
      <c r="C2" s="5">
        <v>262018163.05018201</v>
      </c>
      <c r="D2" s="5">
        <v>2.6201816305018202</v>
      </c>
      <c r="E2" s="5" t="b">
        <v>0</v>
      </c>
    </row>
    <row r="3" spans="1:5" x14ac:dyDescent="0.25">
      <c r="A3" s="5">
        <v>6</v>
      </c>
      <c r="B3" s="5">
        <v>2</v>
      </c>
      <c r="C3" s="5">
        <v>191277970.815137</v>
      </c>
      <c r="D3" s="5">
        <v>1.91277970815137</v>
      </c>
      <c r="E3" s="5" t="b">
        <v>0</v>
      </c>
    </row>
    <row r="4" spans="1:5" x14ac:dyDescent="0.25">
      <c r="A4" s="5">
        <v>6</v>
      </c>
      <c r="B4" s="5">
        <v>3</v>
      </c>
      <c r="C4" s="5">
        <v>142278022.941589</v>
      </c>
      <c r="D4" s="5">
        <v>1.42278022941589</v>
      </c>
      <c r="E4" s="5" t="b">
        <v>0</v>
      </c>
    </row>
    <row r="5" spans="1:5" x14ac:dyDescent="0.25">
      <c r="A5" s="5">
        <v>6</v>
      </c>
      <c r="B5" s="5">
        <v>4</v>
      </c>
      <c r="C5" s="5">
        <v>110608518.90835699</v>
      </c>
      <c r="D5" s="5">
        <v>1.1060851890835699</v>
      </c>
      <c r="E5" s="5" t="b">
        <v>0</v>
      </c>
    </row>
    <row r="6" spans="1:5" x14ac:dyDescent="0.25">
      <c r="A6" s="5">
        <v>6</v>
      </c>
      <c r="B6" s="5">
        <v>5</v>
      </c>
      <c r="C6" s="5">
        <v>90687685.354625002</v>
      </c>
      <c r="D6" s="5">
        <v>0.90687685354625003</v>
      </c>
      <c r="E6" s="5" t="b">
        <v>0</v>
      </c>
    </row>
    <row r="7" spans="1:5" x14ac:dyDescent="0.25">
      <c r="A7" s="5">
        <v>6</v>
      </c>
      <c r="B7" s="5">
        <v>6</v>
      </c>
      <c r="C7" s="5">
        <v>88722011.897248998</v>
      </c>
      <c r="D7" s="5">
        <v>0.88722011897248998</v>
      </c>
      <c r="E7" s="5" t="b">
        <v>0</v>
      </c>
    </row>
    <row r="8" spans="1:5" x14ac:dyDescent="0.25">
      <c r="A8" s="5">
        <v>6</v>
      </c>
      <c r="B8" s="5">
        <v>7</v>
      </c>
      <c r="C8" s="5">
        <v>88058578.743345097</v>
      </c>
      <c r="D8" s="5">
        <v>0.88058578743345095</v>
      </c>
      <c r="E8" s="5" t="b">
        <v>0</v>
      </c>
    </row>
    <row r="9" spans="1:5" x14ac:dyDescent="0.25">
      <c r="A9" s="5">
        <v>6</v>
      </c>
      <c r="B9" s="5">
        <v>8</v>
      </c>
      <c r="C9" s="5">
        <v>87449420.938061997</v>
      </c>
      <c r="D9" s="5">
        <v>0.87449420938061995</v>
      </c>
      <c r="E9" s="5" t="b">
        <v>0</v>
      </c>
    </row>
    <row r="10" spans="1:5" x14ac:dyDescent="0.25">
      <c r="A10" s="5">
        <v>6</v>
      </c>
      <c r="B10" s="5">
        <v>9</v>
      </c>
      <c r="C10" s="5">
        <v>87439426.7132864</v>
      </c>
      <c r="D10" s="5">
        <v>0.87439426713286394</v>
      </c>
      <c r="E10" s="5" t="b">
        <v>0</v>
      </c>
    </row>
    <row r="11" spans="1:5" x14ac:dyDescent="0.25">
      <c r="A11" s="5">
        <v>6</v>
      </c>
      <c r="B11" s="5">
        <v>10</v>
      </c>
      <c r="C11" s="5">
        <v>87300394.859332904</v>
      </c>
      <c r="D11" s="5">
        <v>0.87300394859332897</v>
      </c>
      <c r="E11" s="5" t="b">
        <v>1</v>
      </c>
    </row>
    <row r="12" spans="1:5" x14ac:dyDescent="0.25">
      <c r="A12" s="5">
        <v>8</v>
      </c>
      <c r="B12" s="5">
        <v>1</v>
      </c>
      <c r="C12" s="5">
        <v>262095328.661742</v>
      </c>
      <c r="D12" s="5">
        <v>2.6209532866174201</v>
      </c>
      <c r="E12" s="5" t="b">
        <v>0</v>
      </c>
    </row>
    <row r="13" spans="1:5" x14ac:dyDescent="0.25">
      <c r="A13" s="5">
        <v>8</v>
      </c>
      <c r="B13" s="5">
        <v>2</v>
      </c>
      <c r="C13" s="5">
        <v>156106793.63125801</v>
      </c>
      <c r="D13" s="5">
        <v>1.5610679363125799</v>
      </c>
      <c r="E13" s="5" t="b">
        <v>0</v>
      </c>
    </row>
    <row r="14" spans="1:5" x14ac:dyDescent="0.25">
      <c r="A14" s="5">
        <v>8</v>
      </c>
      <c r="B14" s="5">
        <v>3</v>
      </c>
      <c r="C14" s="5">
        <v>101604631.84824</v>
      </c>
      <c r="D14" s="5">
        <v>1.0160463184824</v>
      </c>
      <c r="E14" s="5" t="b">
        <v>0</v>
      </c>
    </row>
    <row r="15" spans="1:5" x14ac:dyDescent="0.25">
      <c r="A15" s="5">
        <v>8</v>
      </c>
      <c r="B15" s="5">
        <v>4</v>
      </c>
      <c r="C15" s="5">
        <v>92087461.556170598</v>
      </c>
      <c r="D15" s="5">
        <v>0.92087461556170602</v>
      </c>
      <c r="E15" s="5" t="b">
        <v>0</v>
      </c>
    </row>
    <row r="16" spans="1:5" x14ac:dyDescent="0.25">
      <c r="A16" s="5">
        <v>8</v>
      </c>
      <c r="B16" s="5">
        <v>5</v>
      </c>
      <c r="C16" s="5">
        <v>91946499.150402501</v>
      </c>
      <c r="D16" s="5">
        <v>0.91946499150402505</v>
      </c>
      <c r="E16" s="5" t="b">
        <v>0</v>
      </c>
    </row>
    <row r="17" spans="1:5" x14ac:dyDescent="0.25">
      <c r="A17" s="5">
        <v>8</v>
      </c>
      <c r="B17" s="5">
        <v>6</v>
      </c>
      <c r="C17" s="5">
        <v>90503597.250820398</v>
      </c>
      <c r="D17" s="5">
        <v>0.905035972508204</v>
      </c>
      <c r="E17" s="5" t="b">
        <v>0</v>
      </c>
    </row>
    <row r="18" spans="1:5" x14ac:dyDescent="0.25">
      <c r="A18" s="5">
        <v>8</v>
      </c>
      <c r="B18" s="5">
        <v>7</v>
      </c>
      <c r="C18" s="5">
        <v>90303374.677067295</v>
      </c>
      <c r="D18" s="5">
        <v>0.90303374677067305</v>
      </c>
      <c r="E18" s="5" t="b">
        <v>0</v>
      </c>
    </row>
    <row r="19" spans="1:5" x14ac:dyDescent="0.25">
      <c r="A19" s="5">
        <v>10</v>
      </c>
      <c r="B19" s="5">
        <v>1</v>
      </c>
      <c r="C19" s="5">
        <v>262517614.36215401</v>
      </c>
      <c r="D19" s="5">
        <v>2.6251761436215402</v>
      </c>
      <c r="E19" s="5" t="b">
        <v>0</v>
      </c>
    </row>
    <row r="20" spans="1:5" x14ac:dyDescent="0.25">
      <c r="A20" s="5">
        <v>10</v>
      </c>
      <c r="B20" s="5">
        <v>2</v>
      </c>
      <c r="C20" s="5">
        <v>157861840.15594599</v>
      </c>
      <c r="D20" s="5">
        <v>1.57861840155946</v>
      </c>
      <c r="E20" s="5" t="b">
        <v>0</v>
      </c>
    </row>
    <row r="21" spans="1:5" x14ac:dyDescent="0.25">
      <c r="A21" s="5">
        <v>10</v>
      </c>
      <c r="B21" s="5">
        <v>3</v>
      </c>
      <c r="C21" s="5">
        <v>104295636.228828</v>
      </c>
      <c r="D21" s="5">
        <v>1.04295636228828</v>
      </c>
      <c r="E21" s="5" t="b">
        <v>0</v>
      </c>
    </row>
    <row r="22" spans="1:5" x14ac:dyDescent="0.25">
      <c r="A22" s="5">
        <v>10</v>
      </c>
      <c r="B22" s="5">
        <v>4</v>
      </c>
      <c r="C22" s="5">
        <v>94596335.707842603</v>
      </c>
      <c r="D22" s="5">
        <v>0.94596335707842605</v>
      </c>
      <c r="E22" s="5" t="b">
        <v>0</v>
      </c>
    </row>
    <row r="23" spans="1:5" x14ac:dyDescent="0.25">
      <c r="A23" s="5">
        <v>10</v>
      </c>
      <c r="B23" s="5">
        <v>5</v>
      </c>
      <c r="C23" s="5">
        <v>94589121.186321199</v>
      </c>
      <c r="D23" s="5">
        <v>0.94589121186321201</v>
      </c>
      <c r="E23" s="5" t="b">
        <v>0</v>
      </c>
    </row>
    <row r="24" spans="1:5" x14ac:dyDescent="0.25">
      <c r="A24" s="5">
        <v>10</v>
      </c>
      <c r="B24" s="5">
        <v>6</v>
      </c>
      <c r="C24" s="5">
        <v>93535500.284839198</v>
      </c>
      <c r="D24" s="5">
        <v>0.93535500284839201</v>
      </c>
      <c r="E24" s="5" t="b">
        <v>0</v>
      </c>
    </row>
    <row r="25" spans="1:5" x14ac:dyDescent="0.25">
      <c r="A25" s="5">
        <v>12</v>
      </c>
      <c r="B25" s="5">
        <v>1</v>
      </c>
      <c r="C25" s="5">
        <v>262783517.613545</v>
      </c>
      <c r="D25" s="5">
        <v>2.6278351761354499</v>
      </c>
      <c r="E25" s="5" t="b">
        <v>0</v>
      </c>
    </row>
    <row r="26" spans="1:5" x14ac:dyDescent="0.25">
      <c r="A26" s="5">
        <v>12</v>
      </c>
      <c r="B26" s="5">
        <v>2</v>
      </c>
      <c r="C26" s="5">
        <v>163362866.67505601</v>
      </c>
      <c r="D26" s="5">
        <v>1.63362866675056</v>
      </c>
      <c r="E26" s="5" t="b">
        <v>0</v>
      </c>
    </row>
    <row r="27" spans="1:5" x14ac:dyDescent="0.25">
      <c r="A27" s="5">
        <v>12</v>
      </c>
      <c r="B27" s="5">
        <v>3</v>
      </c>
      <c r="C27" s="5">
        <v>109445231.02956501</v>
      </c>
      <c r="D27" s="5">
        <v>1.09445231029565</v>
      </c>
      <c r="E27" s="5" t="b">
        <v>0</v>
      </c>
    </row>
    <row r="28" spans="1:5" x14ac:dyDescent="0.25">
      <c r="A28" s="5">
        <v>12</v>
      </c>
      <c r="B28" s="5">
        <v>4</v>
      </c>
      <c r="C28" s="5">
        <v>98803155.677877799</v>
      </c>
      <c r="D28" s="5">
        <v>0.98803155677877796</v>
      </c>
      <c r="E28" s="5" t="b">
        <v>0</v>
      </c>
    </row>
    <row r="29" spans="1:5" x14ac:dyDescent="0.25">
      <c r="A29" s="5">
        <v>12</v>
      </c>
      <c r="B29" s="5">
        <v>5</v>
      </c>
      <c r="C29" s="5">
        <v>96339480.072546899</v>
      </c>
      <c r="D29" s="5">
        <v>0.96339480072546901</v>
      </c>
      <c r="E29" s="5" t="b">
        <v>0</v>
      </c>
    </row>
    <row r="30" spans="1:5" x14ac:dyDescent="0.25">
      <c r="A30" s="5">
        <v>14</v>
      </c>
      <c r="B30" s="5">
        <v>1</v>
      </c>
      <c r="C30" s="5">
        <v>263349345.45559001</v>
      </c>
      <c r="D30" s="5">
        <v>2.6334934545559001</v>
      </c>
      <c r="E30" s="5" t="b">
        <v>0</v>
      </c>
    </row>
    <row r="31" spans="1:5" x14ac:dyDescent="0.25">
      <c r="A31" s="5">
        <v>14</v>
      </c>
      <c r="B31" s="5">
        <v>2</v>
      </c>
      <c r="C31" s="5">
        <v>170066877.91960201</v>
      </c>
      <c r="D31" s="5">
        <v>1.70066877919601</v>
      </c>
      <c r="E31" s="5" t="b">
        <v>0</v>
      </c>
    </row>
    <row r="32" spans="1:5" x14ac:dyDescent="0.25">
      <c r="A32" s="5">
        <v>14</v>
      </c>
      <c r="B32" s="5">
        <v>3</v>
      </c>
      <c r="C32" s="5">
        <v>115690185.670076</v>
      </c>
      <c r="D32" s="5">
        <v>1.1569018567007601</v>
      </c>
      <c r="E32" s="5" t="b">
        <v>0</v>
      </c>
    </row>
    <row r="33" spans="1:5" x14ac:dyDescent="0.25">
      <c r="A33" s="5">
        <v>14</v>
      </c>
      <c r="B33" s="5">
        <v>4</v>
      </c>
      <c r="C33" s="5">
        <v>104040216.410292</v>
      </c>
      <c r="D33" s="5">
        <v>1.04040216410292</v>
      </c>
      <c r="E33" s="5" t="b">
        <v>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Section 6.1.1-1</vt:lpstr>
      <vt:lpstr>Section 6.1.1-2</vt:lpstr>
      <vt:lpstr>Section 6.1.2-1</vt:lpstr>
      <vt:lpstr>Section 6.1.2-2</vt:lpstr>
      <vt:lpstr>Section 6.1.3</vt:lpstr>
      <vt:lpstr>Section 6.1.4</vt:lpstr>
      <vt:lpstr>Section 6.2</vt:lpstr>
      <vt:lpstr>Appendix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</dc:creator>
  <cp:lastModifiedBy>Jing LI</cp:lastModifiedBy>
  <dcterms:created xsi:type="dcterms:W3CDTF">2023-05-12T11:15:00Z</dcterms:created>
  <dcterms:modified xsi:type="dcterms:W3CDTF">2026-06-30T06:42:55Z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